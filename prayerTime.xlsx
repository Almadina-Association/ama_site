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madan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11zjx5heG5i3ukotNoPJYuJpWUzoDw5S8ep2J6FZ24="/>
    </ext>
  </extLst>
</workbook>
</file>

<file path=xl/sharedStrings.xml><?xml version="1.0" encoding="utf-8"?>
<sst xmlns="http://schemas.openxmlformats.org/spreadsheetml/2006/main" count="65" uniqueCount="39">
  <si>
    <t>Salat and Iqamah time for AL-MADINA Association, Rosemount</t>
  </si>
  <si>
    <t>Date</t>
  </si>
  <si>
    <t>Ramadan</t>
  </si>
  <si>
    <t>fajr_18</t>
  </si>
  <si>
    <t>fajr_na</t>
  </si>
  <si>
    <t>fajr_iqamah</t>
  </si>
  <si>
    <t>Sunrise</t>
  </si>
  <si>
    <t>dhuhr_start</t>
  </si>
  <si>
    <t>dhuhr_iqamah</t>
  </si>
  <si>
    <t>asr_standard</t>
  </si>
  <si>
    <t>asr_hanafi</t>
  </si>
  <si>
    <t>asr_iqamah</t>
  </si>
  <si>
    <t>asr_end</t>
  </si>
  <si>
    <t>maghrib_start</t>
  </si>
  <si>
    <t>maghrib_iqamah</t>
  </si>
  <si>
    <t>isha_start</t>
  </si>
  <si>
    <t>isha_iqamah</t>
  </si>
  <si>
    <t>Tarawie will be followed by Isha prayer (about 15 minutes)</t>
  </si>
  <si>
    <t>Jummua (Before daylight savings change): First Adan-1:00 PM, Khutba/Lecture at 1:15 PM (if Khutbah in English 1:20 PM) and Ikamah around at 1:45 PM</t>
  </si>
  <si>
    <t>Jummua (After daylight savings change): First Adan-AEAP, Khutba/Lecture at 1:25 PM (if English Khutbah 1:30 PM) and Ikamah around at 1:55 PM</t>
  </si>
  <si>
    <t>Contact: 612-548-4077</t>
  </si>
  <si>
    <t>18 Deg means Fazr Start time calculated on 18 degree method</t>
  </si>
  <si>
    <t>2058 Bonaire Path W, Rosemount, MN 55068</t>
  </si>
  <si>
    <t>N.A. means Fazr Start time calculated on North American method</t>
  </si>
  <si>
    <t>Source: Islamic Finder</t>
  </si>
  <si>
    <t>February</t>
  </si>
  <si>
    <t>Day</t>
  </si>
  <si>
    <t>Fajr</t>
  </si>
  <si>
    <t>Dhuhr</t>
  </si>
  <si>
    <t>Asr</t>
  </si>
  <si>
    <t>Maghrib</t>
  </si>
  <si>
    <t>Isha</t>
  </si>
  <si>
    <t>Thu</t>
  </si>
  <si>
    <t>Fri</t>
  </si>
  <si>
    <t>Sat</t>
  </si>
  <si>
    <t>Sun</t>
  </si>
  <si>
    <t>Mon</t>
  </si>
  <si>
    <t>Tue</t>
  </si>
  <si>
    <t>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</si>
</sst>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&quot;-Rmdn&quot;"/>
    <numFmt numFmtId="165" formatCode="ddd\,\ mmm\-dd"/>
  </numFmts>
  <fonts count="16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C00000"/>
      <name val="Arial"/>
    </font>
    <font>
      <b/>
      <sz val="9.0"/>
      <color rgb="FFC00000"/>
      <name val="Arial"/>
    </font>
    <font>
      <b/>
      <sz val="10.0"/>
      <color theme="0"/>
      <name val="Arial"/>
    </font>
    <font>
      <b/>
      <sz val="10.0"/>
      <color rgb="FFFF0000"/>
      <name val="Arial"/>
    </font>
    <font>
      <b/>
      <sz val="9.0"/>
      <color rgb="FFFF0000"/>
      <name val="Arial"/>
    </font>
    <font>
      <sz val="10.0"/>
      <color rgb="FFFF0000"/>
      <name val="Arial"/>
    </font>
    <font>
      <sz val="8.0"/>
      <color theme="1"/>
      <name val="Arial"/>
    </font>
    <font>
      <sz val="10.0"/>
      <color rgb="FF000000"/>
      <name val="Verdana"/>
    </font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EBD"/>
        <bgColor rgb="FFFFDEBD"/>
      </patternFill>
    </fill>
    <fill>
      <patternFill patternType="solid">
        <fgColor rgb="FFE9FFD9"/>
        <bgColor rgb="FFE9FFD9"/>
      </patternFill>
    </fill>
    <fill>
      <patternFill patternType="solid">
        <fgColor rgb="FFB3EBFF"/>
        <bgColor rgb="FFB3EBF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</fills>
  <borders count="70">
    <border/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ck">
        <color rgb="FF000000"/>
      </left>
      <right/>
      <top/>
      <bottom style="dotted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medium">
        <color rgb="FF000000"/>
      </right>
      <top/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ck">
        <color rgb="FF953734"/>
      </right>
      <top/>
      <bottom style="dotted">
        <color rgb="FF000000"/>
      </bottom>
    </border>
    <border>
      <left style="thick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ck">
        <color rgb="FF000000"/>
      </right>
      <top/>
      <bottom style="dotted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953734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ck">
        <color rgb="FF953734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/>
      <right style="medium">
        <color rgb="FF000000"/>
      </right>
      <top/>
      <bottom style="dotted">
        <color rgb="FF000000"/>
      </bottom>
    </border>
    <border>
      <left/>
      <right style="medium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/>
      <top style="dotted">
        <color rgb="FF000000"/>
      </top>
      <bottom/>
    </border>
    <border>
      <left style="medium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/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ck">
        <color rgb="FF953734"/>
      </right>
      <top style="dotted">
        <color rgb="FF000000"/>
      </top>
      <bottom/>
    </border>
    <border>
      <left style="thick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ck">
        <color rgb="FF000000"/>
      </right>
      <top style="dotted">
        <color rgb="FF000000"/>
      </top>
      <bottom/>
    </border>
    <border>
      <left style="thick">
        <color rgb="FF000000"/>
      </left>
      <right/>
      <top/>
      <bottom/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ck">
        <color rgb="FF953734"/>
      </right>
      <top/>
      <bottom/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953734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6" fillId="5" fontId="4" numFmtId="0" xfId="0" applyAlignment="1" applyBorder="1" applyFill="1" applyFont="1">
      <alignment horizontal="center" readingOrder="0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8" fillId="2" fontId="3" numFmtId="0" xfId="0" applyAlignment="1" applyBorder="1" applyFont="1">
      <alignment horizontal="center" vertical="center"/>
    </xf>
    <xf borderId="9" fillId="2" fontId="2" numFmtId="165" xfId="0" applyAlignment="1" applyBorder="1" applyFont="1" applyNumberFormat="1">
      <alignment horizontal="center"/>
    </xf>
    <xf borderId="10" fillId="0" fontId="3" numFmtId="164" xfId="0" applyAlignment="1" applyBorder="1" applyFont="1" applyNumberFormat="1">
      <alignment horizontal="center"/>
    </xf>
    <xf borderId="11" fillId="3" fontId="5" numFmtId="18" xfId="0" applyAlignment="1" applyBorder="1" applyFont="1" applyNumberFormat="1">
      <alignment horizontal="center"/>
    </xf>
    <xf borderId="12" fillId="2" fontId="5" numFmtId="18" xfId="0" applyAlignment="1" applyBorder="1" applyFont="1" applyNumberFormat="1">
      <alignment horizontal="center"/>
    </xf>
    <xf borderId="12" fillId="4" fontId="3" numFmtId="18" xfId="0" applyAlignment="1" applyBorder="1" applyFont="1" applyNumberFormat="1">
      <alignment horizontal="center"/>
    </xf>
    <xf borderId="13" fillId="2" fontId="5" numFmtId="18" xfId="0" applyAlignment="1" applyBorder="1" applyFont="1" applyNumberFormat="1">
      <alignment horizontal="center"/>
    </xf>
    <xf borderId="14" fillId="2" fontId="5" numFmtId="18" xfId="0" applyAlignment="1" applyBorder="1" applyFont="1" applyNumberFormat="1">
      <alignment horizontal="center"/>
    </xf>
    <xf borderId="15" fillId="2" fontId="5" numFmtId="18" xfId="0" applyAlignment="1" applyBorder="1" applyFont="1" applyNumberFormat="1">
      <alignment horizontal="center"/>
    </xf>
    <xf borderId="14" fillId="5" fontId="4" numFmtId="18" xfId="0" applyAlignment="1" applyBorder="1" applyFont="1" applyNumberFormat="1">
      <alignment horizontal="center"/>
    </xf>
    <xf borderId="16" fillId="2" fontId="5" numFmtId="18" xfId="0" applyAlignment="1" applyBorder="1" applyFont="1" applyNumberFormat="1">
      <alignment horizontal="center"/>
    </xf>
    <xf borderId="17" fillId="4" fontId="3" numFmtId="18" xfId="0" applyAlignment="1" applyBorder="1" applyFont="1" applyNumberFormat="1">
      <alignment horizontal="center"/>
    </xf>
    <xf borderId="18" fillId="5" fontId="4" numFmtId="18" xfId="0" applyAlignment="1" applyBorder="1" applyFont="1" applyNumberFormat="1">
      <alignment horizontal="center"/>
    </xf>
    <xf borderId="19" fillId="0" fontId="6" numFmtId="165" xfId="0" applyAlignment="1" applyBorder="1" applyFont="1" applyNumberFormat="1">
      <alignment horizontal="center" vertical="center"/>
    </xf>
    <xf borderId="20" fillId="0" fontId="3" numFmtId="164" xfId="0" applyAlignment="1" applyBorder="1" applyFont="1" applyNumberFormat="1">
      <alignment horizontal="center"/>
    </xf>
    <xf borderId="21" fillId="0" fontId="7" numFmtId="18" xfId="0" applyAlignment="1" applyBorder="1" applyFont="1" applyNumberFormat="1">
      <alignment horizontal="center" vertical="center"/>
    </xf>
    <xf borderId="22" fillId="0" fontId="7" numFmtId="18" xfId="0" applyAlignment="1" applyBorder="1" applyFont="1" applyNumberFormat="1">
      <alignment horizontal="center" vertical="center"/>
    </xf>
    <xf borderId="23" fillId="0" fontId="7" numFmtId="18" xfId="0" applyAlignment="1" applyBorder="1" applyFont="1" applyNumberFormat="1">
      <alignment horizontal="center" vertical="center"/>
    </xf>
    <xf borderId="24" fillId="0" fontId="7" numFmtId="18" xfId="0" applyAlignment="1" applyBorder="1" applyFont="1" applyNumberFormat="1">
      <alignment horizontal="center" vertical="center"/>
    </xf>
    <xf borderId="22" fillId="0" fontId="8" numFmtId="18" xfId="0" applyAlignment="1" applyBorder="1" applyFont="1" applyNumberFormat="1">
      <alignment horizontal="center" vertical="center"/>
    </xf>
    <xf borderId="22" fillId="0" fontId="6" numFmtId="18" xfId="0" applyAlignment="1" applyBorder="1" applyFont="1" applyNumberFormat="1">
      <alignment horizontal="center" vertical="center"/>
    </xf>
    <xf borderId="25" fillId="0" fontId="7" numFmtId="18" xfId="0" applyAlignment="1" applyBorder="1" applyFont="1" applyNumberFormat="1">
      <alignment horizontal="center" vertical="center"/>
    </xf>
    <xf borderId="26" fillId="0" fontId="7" numFmtId="18" xfId="0" applyAlignment="1" applyBorder="1" applyFont="1" applyNumberFormat="1">
      <alignment horizontal="center" vertical="center"/>
    </xf>
    <xf borderId="27" fillId="0" fontId="6" numFmtId="18" xfId="0" applyAlignment="1" applyBorder="1" applyFont="1" applyNumberFormat="1">
      <alignment horizontal="center" vertical="center"/>
    </xf>
    <xf borderId="28" fillId="5" fontId="4" numFmtId="18" xfId="0" applyAlignment="1" applyBorder="1" applyFont="1" applyNumberFormat="1">
      <alignment horizontal="center"/>
    </xf>
    <xf borderId="29" fillId="2" fontId="2" numFmtId="165" xfId="0" applyAlignment="1" applyBorder="1" applyFont="1" applyNumberFormat="1">
      <alignment horizontal="center"/>
    </xf>
    <xf borderId="30" fillId="0" fontId="3" numFmtId="164" xfId="0" applyAlignment="1" applyBorder="1" applyFont="1" applyNumberFormat="1">
      <alignment horizontal="center"/>
    </xf>
    <xf borderId="31" fillId="3" fontId="5" numFmtId="18" xfId="0" applyAlignment="1" applyBorder="1" applyFont="1" applyNumberFormat="1">
      <alignment horizontal="center"/>
    </xf>
    <xf borderId="32" fillId="2" fontId="5" numFmtId="18" xfId="0" applyAlignment="1" applyBorder="1" applyFont="1" applyNumberFormat="1">
      <alignment horizontal="center"/>
    </xf>
    <xf borderId="32" fillId="4" fontId="3" numFmtId="18" xfId="0" applyAlignment="1" applyBorder="1" applyFont="1" applyNumberFormat="1">
      <alignment horizontal="center"/>
    </xf>
    <xf borderId="33" fillId="2" fontId="5" numFmtId="18" xfId="0" applyAlignment="1" applyBorder="1" applyFont="1" applyNumberFormat="1">
      <alignment horizontal="center"/>
    </xf>
    <xf borderId="34" fillId="2" fontId="5" numFmtId="18" xfId="0" applyAlignment="1" applyBorder="1" applyFont="1" applyNumberFormat="1">
      <alignment horizontal="center"/>
    </xf>
    <xf borderId="35" fillId="2" fontId="5" numFmtId="18" xfId="0" applyAlignment="1" applyBorder="1" applyFont="1" applyNumberFormat="1">
      <alignment horizontal="center"/>
    </xf>
    <xf borderId="34" fillId="5" fontId="4" numFmtId="18" xfId="0" applyAlignment="1" applyBorder="1" applyFont="1" applyNumberFormat="1">
      <alignment horizontal="center"/>
    </xf>
    <xf borderId="36" fillId="2" fontId="5" numFmtId="18" xfId="0" applyAlignment="1" applyBorder="1" applyFont="1" applyNumberFormat="1">
      <alignment horizontal="center"/>
    </xf>
    <xf borderId="37" fillId="4" fontId="3" numFmtId="18" xfId="0" applyAlignment="1" applyBorder="1" applyFont="1" applyNumberFormat="1">
      <alignment horizontal="center"/>
    </xf>
    <xf borderId="38" fillId="5" fontId="4" numFmtId="18" xfId="0" applyAlignment="1" applyBorder="1" applyFont="1" applyNumberFormat="1">
      <alignment horizontal="center"/>
    </xf>
    <xf borderId="39" fillId="5" fontId="4" numFmtId="18" xfId="0" applyAlignment="1" applyBorder="1" applyFont="1" applyNumberFormat="1">
      <alignment horizontal="center"/>
    </xf>
    <xf borderId="40" fillId="2" fontId="2" numFmtId="165" xfId="0" applyAlignment="1" applyBorder="1" applyFont="1" applyNumberFormat="1">
      <alignment horizontal="center"/>
    </xf>
    <xf borderId="41" fillId="3" fontId="5" numFmtId="18" xfId="0" applyAlignment="1" applyBorder="1" applyFont="1" applyNumberFormat="1">
      <alignment horizontal="center"/>
    </xf>
    <xf borderId="42" fillId="2" fontId="5" numFmtId="18" xfId="0" applyAlignment="1" applyBorder="1" applyFont="1" applyNumberFormat="1">
      <alignment horizontal="center"/>
    </xf>
    <xf borderId="42" fillId="4" fontId="3" numFmtId="18" xfId="0" applyAlignment="1" applyBorder="1" applyFont="1" applyNumberFormat="1">
      <alignment horizontal="center"/>
    </xf>
    <xf borderId="43" fillId="2" fontId="5" numFmtId="18" xfId="0" applyAlignment="1" applyBorder="1" applyFont="1" applyNumberFormat="1">
      <alignment horizontal="center"/>
    </xf>
    <xf borderId="44" fillId="2" fontId="5" numFmtId="18" xfId="0" applyAlignment="1" applyBorder="1" applyFont="1" applyNumberFormat="1">
      <alignment horizontal="center"/>
    </xf>
    <xf borderId="45" fillId="2" fontId="5" numFmtId="18" xfId="0" applyAlignment="1" applyBorder="1" applyFont="1" applyNumberFormat="1">
      <alignment horizontal="center"/>
    </xf>
    <xf borderId="44" fillId="5" fontId="4" numFmtId="18" xfId="0" applyAlignment="1" applyBorder="1" applyFont="1" applyNumberFormat="1">
      <alignment horizontal="center"/>
    </xf>
    <xf borderId="46" fillId="2" fontId="5" numFmtId="18" xfId="0" applyAlignment="1" applyBorder="1" applyFont="1" applyNumberFormat="1">
      <alignment horizontal="center"/>
    </xf>
    <xf borderId="47" fillId="4" fontId="3" numFmtId="18" xfId="0" applyAlignment="1" applyBorder="1" applyFont="1" applyNumberFormat="1">
      <alignment horizontal="center"/>
    </xf>
    <xf borderId="48" fillId="2" fontId="2" numFmtId="165" xfId="0" applyAlignment="1" applyBorder="1" applyFont="1" applyNumberFormat="1">
      <alignment horizontal="center"/>
    </xf>
    <xf borderId="49" fillId="0" fontId="3" numFmtId="164" xfId="0" applyAlignment="1" applyBorder="1" applyFont="1" applyNumberFormat="1">
      <alignment horizontal="center"/>
    </xf>
    <xf borderId="50" fillId="3" fontId="5" numFmtId="18" xfId="0" applyAlignment="1" applyBorder="1" applyFont="1" applyNumberFormat="1">
      <alignment horizontal="center"/>
    </xf>
    <xf borderId="51" fillId="2" fontId="5" numFmtId="18" xfId="0" applyAlignment="1" applyBorder="1" applyFont="1" applyNumberFormat="1">
      <alignment horizontal="center"/>
    </xf>
    <xf borderId="51" fillId="4" fontId="3" numFmtId="18" xfId="0" applyAlignment="1" applyBorder="1" applyFont="1" applyNumberFormat="1">
      <alignment horizontal="center"/>
    </xf>
    <xf borderId="52" fillId="2" fontId="5" numFmtId="18" xfId="0" applyAlignment="1" applyBorder="1" applyFont="1" applyNumberFormat="1">
      <alignment horizontal="center"/>
    </xf>
    <xf borderId="53" fillId="2" fontId="5" numFmtId="18" xfId="0" applyAlignment="1" applyBorder="1" applyFont="1" applyNumberFormat="1">
      <alignment horizontal="center"/>
    </xf>
    <xf borderId="54" fillId="2" fontId="5" numFmtId="18" xfId="0" applyAlignment="1" applyBorder="1" applyFont="1" applyNumberFormat="1">
      <alignment horizontal="center"/>
    </xf>
    <xf borderId="53" fillId="5" fontId="4" numFmtId="18" xfId="0" applyAlignment="1" applyBorder="1" applyFont="1" applyNumberFormat="1">
      <alignment horizontal="center"/>
    </xf>
    <xf borderId="55" fillId="2" fontId="5" numFmtId="18" xfId="0" applyAlignment="1" applyBorder="1" applyFont="1" applyNumberFormat="1">
      <alignment horizontal="center"/>
    </xf>
    <xf borderId="56" fillId="4" fontId="3" numFmtId="18" xfId="0" applyAlignment="1" applyBorder="1" applyFont="1" applyNumberFormat="1">
      <alignment horizontal="center"/>
    </xf>
    <xf borderId="19" fillId="0" fontId="9" numFmtId="165" xfId="0" applyAlignment="1" applyBorder="1" applyFont="1" applyNumberFormat="1">
      <alignment horizontal="center"/>
    </xf>
    <xf borderId="30" fillId="0" fontId="9" numFmtId="164" xfId="0" applyAlignment="1" applyBorder="1" applyFont="1" applyNumberFormat="1">
      <alignment horizontal="center"/>
    </xf>
    <xf borderId="21" fillId="0" fontId="10" numFmtId="18" xfId="0" applyAlignment="1" applyBorder="1" applyFont="1" applyNumberFormat="1">
      <alignment horizontal="center"/>
    </xf>
    <xf borderId="22" fillId="0" fontId="10" numFmtId="18" xfId="0" applyAlignment="1" applyBorder="1" applyFont="1" applyNumberFormat="1">
      <alignment horizontal="center"/>
    </xf>
    <xf borderId="22" fillId="0" fontId="9" numFmtId="18" xfId="0" applyAlignment="1" applyBorder="1" applyFont="1" applyNumberFormat="1">
      <alignment horizontal="center"/>
    </xf>
    <xf borderId="23" fillId="0" fontId="10" numFmtId="18" xfId="0" applyAlignment="1" applyBorder="1" applyFont="1" applyNumberFormat="1">
      <alignment horizontal="center"/>
    </xf>
    <xf borderId="24" fillId="0" fontId="10" numFmtId="18" xfId="0" applyAlignment="1" applyBorder="1" applyFont="1" applyNumberFormat="1">
      <alignment horizontal="center"/>
    </xf>
    <xf borderId="22" fillId="0" fontId="9" numFmtId="18" xfId="0" applyAlignment="1" applyBorder="1" applyFont="1" applyNumberFormat="1">
      <alignment horizontal="center" vertical="center"/>
    </xf>
    <xf borderId="25" fillId="0" fontId="10" numFmtId="18" xfId="0" applyAlignment="1" applyBorder="1" applyFont="1" applyNumberFormat="1">
      <alignment horizontal="center"/>
    </xf>
    <xf borderId="26" fillId="0" fontId="10" numFmtId="18" xfId="0" applyAlignment="1" applyBorder="1" applyFont="1" applyNumberFormat="1">
      <alignment horizontal="center"/>
    </xf>
    <xf borderId="27" fillId="0" fontId="9" numFmtId="18" xfId="0" applyAlignment="1" applyBorder="1" applyFont="1" applyNumberFormat="1">
      <alignment horizontal="center"/>
    </xf>
    <xf borderId="57" fillId="0" fontId="6" numFmtId="165" xfId="0" applyAlignment="1" applyBorder="1" applyFont="1" applyNumberFormat="1">
      <alignment horizontal="center" vertical="center"/>
    </xf>
    <xf borderId="58" fillId="0" fontId="3" numFmtId="164" xfId="0" applyAlignment="1" applyBorder="1" applyFont="1" applyNumberFormat="1">
      <alignment horizontal="center"/>
    </xf>
    <xf borderId="59" fillId="0" fontId="7" numFmtId="18" xfId="0" applyAlignment="1" applyBorder="1" applyFont="1" applyNumberFormat="1">
      <alignment horizontal="center" vertical="center"/>
    </xf>
    <xf borderId="60" fillId="0" fontId="7" numFmtId="18" xfId="0" applyAlignment="1" applyBorder="1" applyFont="1" applyNumberFormat="1">
      <alignment horizontal="center" vertical="center"/>
    </xf>
    <xf borderId="61" fillId="0" fontId="7" numFmtId="18" xfId="0" applyAlignment="1" applyBorder="1" applyFont="1" applyNumberFormat="1">
      <alignment horizontal="center" vertical="center"/>
    </xf>
    <xf borderId="62" fillId="0" fontId="7" numFmtId="18" xfId="0" applyAlignment="1" applyBorder="1" applyFont="1" applyNumberFormat="1">
      <alignment horizontal="center" vertical="center"/>
    </xf>
    <xf borderId="60" fillId="0" fontId="8" numFmtId="18" xfId="0" applyAlignment="1" applyBorder="1" applyFont="1" applyNumberFormat="1">
      <alignment horizontal="center" vertical="center"/>
    </xf>
    <xf borderId="60" fillId="0" fontId="6" numFmtId="18" xfId="0" applyAlignment="1" applyBorder="1" applyFont="1" applyNumberFormat="1">
      <alignment horizontal="center" vertical="center"/>
    </xf>
    <xf borderId="63" fillId="0" fontId="7" numFmtId="18" xfId="0" applyAlignment="1" applyBorder="1" applyFont="1" applyNumberFormat="1">
      <alignment horizontal="center" vertical="center"/>
    </xf>
    <xf borderId="64" fillId="0" fontId="7" numFmtId="18" xfId="0" applyAlignment="1" applyBorder="1" applyFont="1" applyNumberFormat="1">
      <alignment horizontal="center" vertical="center"/>
    </xf>
    <xf borderId="65" fillId="0" fontId="6" numFmtId="18" xfId="0" applyAlignment="1" applyBorder="1" applyFont="1" applyNumberFormat="1">
      <alignment horizontal="center" vertical="center"/>
    </xf>
    <xf borderId="66" fillId="0" fontId="9" numFmtId="0" xfId="0" applyAlignment="1" applyBorder="1" applyFont="1">
      <alignment horizontal="left" vertical="center"/>
    </xf>
    <xf borderId="67" fillId="0" fontId="9" numFmtId="0" xfId="0" applyAlignment="1" applyBorder="1" applyFont="1">
      <alignment horizontal="left" vertical="center"/>
    </xf>
    <xf borderId="67" fillId="0" fontId="11" numFmtId="0" xfId="0" applyAlignment="1" applyBorder="1" applyFont="1">
      <alignment horizontal="center" vertical="center"/>
    </xf>
    <xf borderId="67" fillId="0" fontId="11" numFmtId="0" xfId="0" applyAlignment="1" applyBorder="1" applyFont="1">
      <alignment vertical="center"/>
    </xf>
    <xf borderId="68" fillId="0" fontId="11" numFmtId="0" xfId="0" applyAlignment="1" applyBorder="1" applyFont="1">
      <alignment vertical="center"/>
    </xf>
    <xf borderId="0" fillId="0" fontId="11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2" numFmtId="0" xfId="0" applyFont="1"/>
    <xf borderId="0" fillId="0" fontId="12" numFmtId="0" xfId="0" applyAlignment="1" applyFont="1">
      <alignment horizontal="right"/>
    </xf>
    <xf borderId="69" fillId="6" fontId="13" numFmtId="0" xfId="0" applyAlignment="1" applyBorder="1" applyFill="1" applyFont="1">
      <alignment horizontal="center" shrinkToFit="0" wrapText="1"/>
    </xf>
    <xf borderId="0" fillId="0" fontId="14" numFmtId="0" xfId="0" applyFont="1"/>
    <xf borderId="69" fillId="7" fontId="13" numFmtId="0" xfId="0" applyAlignment="1" applyBorder="1" applyFill="1" applyFont="1">
      <alignment horizontal="left" shrinkToFit="0" wrapText="1"/>
    </xf>
    <xf borderId="69" fillId="7" fontId="13" numFmtId="16" xfId="0" applyAlignment="1" applyBorder="1" applyFont="1" applyNumberFormat="1">
      <alignment horizontal="center" shrinkToFit="0" wrapText="1"/>
    </xf>
    <xf borderId="69" fillId="7" fontId="13" numFmtId="20" xfId="0" applyAlignment="1" applyBorder="1" applyFont="1" applyNumberFormat="1">
      <alignment horizontal="center" shrinkToFit="0" wrapText="1"/>
    </xf>
    <xf borderId="69" fillId="7" fontId="13" numFmtId="18" xfId="0" applyAlignment="1" applyBorder="1" applyFont="1" applyNumberFormat="1">
      <alignment horizontal="center" shrinkToFit="0" wrapText="1"/>
    </xf>
    <xf borderId="0" fillId="0" fontId="15" numFmtId="18" xfId="0" applyFont="1" applyNumberFormat="1"/>
    <xf borderId="69" fillId="8" fontId="13" numFmtId="0" xfId="0" applyAlignment="1" applyBorder="1" applyFill="1" applyFont="1">
      <alignment horizontal="left" shrinkToFit="0" wrapText="1"/>
    </xf>
    <xf borderId="69" fillId="8" fontId="13" numFmtId="0" xfId="0" applyAlignment="1" applyBorder="1" applyFont="1">
      <alignment horizontal="center" shrinkToFit="0" wrapText="1"/>
    </xf>
    <xf borderId="69" fillId="8" fontId="13" numFmtId="20" xfId="0" applyAlignment="1" applyBorder="1" applyFont="1" applyNumberFormat="1">
      <alignment horizontal="center" shrinkToFit="0" wrapText="1"/>
    </xf>
    <xf borderId="69" fillId="8" fontId="13" numFmtId="18" xfId="0" applyAlignment="1" applyBorder="1" applyFont="1" applyNumberFormat="1">
      <alignment horizontal="center" shrinkToFit="0" wrapText="1"/>
    </xf>
    <xf borderId="69" fillId="7" fontId="13" numFmtId="0" xfId="0" applyAlignment="1" applyBorder="1" applyFont="1">
      <alignment horizontal="center" shrinkToFit="0" wrapText="1"/>
    </xf>
    <xf borderId="69" fillId="8" fontId="13" numFmtId="16" xfId="0" applyAlignment="1" applyBorder="1" applyFont="1" applyNumberFormat="1">
      <alignment horizontal="center" shrinkToFit="0" wrapText="1"/>
    </xf>
    <xf borderId="0" fillId="0" fontId="15" numFmtId="0" xfId="0" applyAlignment="1" applyFont="1">
      <alignment shrinkToFit="0" vertical="top" wrapText="1"/>
    </xf>
    <xf borderId="0" fillId="0" fontId="15" numFmtId="18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8.57"/>
    <col customWidth="1" min="4" max="4" width="8.14"/>
    <col customWidth="1" min="5" max="5" width="9.14"/>
    <col customWidth="1" min="6" max="6" width="7.86"/>
    <col customWidth="1" min="7" max="7" width="9.86"/>
    <col customWidth="1" min="8" max="8" width="9.0"/>
    <col customWidth="1" min="9" max="10" width="8.57"/>
    <col customWidth="1" min="11" max="11" width="9.14"/>
    <col customWidth="1" min="12" max="12" width="8.57"/>
    <col customWidth="1" min="13" max="13" width="8.86"/>
    <col customWidth="1" min="14" max="14" width="9.14"/>
    <col customWidth="1" min="15" max="15" width="8.43"/>
    <col customWidth="1" min="16" max="16" width="9.14"/>
    <col customWidth="1" hidden="1" min="17" max="17" width="9.14"/>
    <col customWidth="1" min="18" max="26" width="9.14"/>
  </cols>
  <sheetData>
    <row r="1" ht="12.0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4" t="s">
        <v>1</v>
      </c>
      <c r="B3" s="5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10" t="s">
        <v>7</v>
      </c>
      <c r="H3" s="8" t="s">
        <v>8</v>
      </c>
      <c r="I3" s="6" t="s">
        <v>9</v>
      </c>
      <c r="J3" s="10" t="s">
        <v>10</v>
      </c>
      <c r="K3" s="8" t="s">
        <v>11</v>
      </c>
      <c r="L3" s="10" t="s">
        <v>12</v>
      </c>
      <c r="M3" s="11" t="s">
        <v>13</v>
      </c>
      <c r="N3" s="8" t="s">
        <v>14</v>
      </c>
      <c r="O3" s="7" t="s">
        <v>15</v>
      </c>
      <c r="P3" s="12" t="s">
        <v>16</v>
      </c>
      <c r="Q3" s="13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4">
        <v>46072.0</v>
      </c>
      <c r="B4" s="15">
        <v>1.0</v>
      </c>
      <c r="C4" s="16">
        <v>0.22777777777777777</v>
      </c>
      <c r="D4" s="17">
        <v>0.23958333333333334</v>
      </c>
      <c r="E4" s="18">
        <f t="shared" ref="E4:E33" si="2">+D4+15/(24*60)</f>
        <v>0.25</v>
      </c>
      <c r="F4" s="19">
        <v>0.29583333333333334</v>
      </c>
      <c r="G4" s="20">
        <v>0.5187499999999999</v>
      </c>
      <c r="H4" s="18">
        <v>0.53125</v>
      </c>
      <c r="I4" s="16">
        <v>0.6381944444444444</v>
      </c>
      <c r="J4" s="17">
        <v>0.6680555555555556</v>
      </c>
      <c r="K4" s="18">
        <v>0.6770833333333334</v>
      </c>
      <c r="L4" s="21">
        <f t="shared" ref="L4:L33" si="3">+M4-20/(24*60)</f>
        <v>0.7270833333</v>
      </c>
      <c r="M4" s="22">
        <v>0.7409722222222223</v>
      </c>
      <c r="N4" s="18">
        <f t="shared" ref="N4:N33" si="4">+M4+7/(24*60)</f>
        <v>0.7458333333</v>
      </c>
      <c r="O4" s="23">
        <v>0.7972222222222222</v>
      </c>
      <c r="P4" s="24">
        <v>0.8125</v>
      </c>
      <c r="Q4" s="25">
        <f t="shared" ref="Q4:Q32" si="5">+P4+15/(24*60)</f>
        <v>0.8229166667</v>
      </c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6">
        <f t="shared" ref="A5:B5" si="1">+A4+1</f>
        <v>46073</v>
      </c>
      <c r="B5" s="27">
        <f t="shared" si="1"/>
        <v>2</v>
      </c>
      <c r="C5" s="28">
        <v>0.22708333333333333</v>
      </c>
      <c r="D5" s="29">
        <v>0.23819444444444446</v>
      </c>
      <c r="E5" s="29">
        <f t="shared" si="2"/>
        <v>0.2486111111</v>
      </c>
      <c r="F5" s="30">
        <v>0.29444444444444445</v>
      </c>
      <c r="G5" s="31">
        <v>0.5180555555555556</v>
      </c>
      <c r="H5" s="32">
        <v>0.5729166666666666</v>
      </c>
      <c r="I5" s="28">
        <v>0.638888888888889</v>
      </c>
      <c r="J5" s="29">
        <v>0.6694444444444444</v>
      </c>
      <c r="K5" s="33">
        <v>0.6770833333333334</v>
      </c>
      <c r="L5" s="34">
        <f t="shared" si="3"/>
        <v>0.7277777778</v>
      </c>
      <c r="M5" s="31">
        <v>0.7416666666666667</v>
      </c>
      <c r="N5" s="33">
        <f t="shared" si="4"/>
        <v>0.7465277778</v>
      </c>
      <c r="O5" s="35">
        <v>0.7979166666666666</v>
      </c>
      <c r="P5" s="36">
        <v>0.8125</v>
      </c>
      <c r="Q5" s="37">
        <f t="shared" si="5"/>
        <v>0.8229166667</v>
      </c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8">
        <f t="shared" ref="A6:B6" si="6">+A5+1</f>
        <v>46074</v>
      </c>
      <c r="B6" s="39">
        <f t="shared" si="6"/>
        <v>3</v>
      </c>
      <c r="C6" s="40">
        <v>0.22569444444444445</v>
      </c>
      <c r="D6" s="41">
        <v>0.23750000000000002</v>
      </c>
      <c r="E6" s="42">
        <f t="shared" si="2"/>
        <v>0.2479166667</v>
      </c>
      <c r="F6" s="43">
        <v>0.29375</v>
      </c>
      <c r="G6" s="44">
        <v>0.5180555555555556</v>
      </c>
      <c r="H6" s="42">
        <v>0.53125</v>
      </c>
      <c r="I6" s="40">
        <v>0.6395833333333333</v>
      </c>
      <c r="J6" s="41">
        <v>0.6701388888888888</v>
      </c>
      <c r="K6" s="42">
        <v>0.6770833333333334</v>
      </c>
      <c r="L6" s="45">
        <f t="shared" si="3"/>
        <v>0.7291666667</v>
      </c>
      <c r="M6" s="46">
        <v>0.7430555555555555</v>
      </c>
      <c r="N6" s="42">
        <f t="shared" si="4"/>
        <v>0.7479166667</v>
      </c>
      <c r="O6" s="47">
        <v>0.7993055555555556</v>
      </c>
      <c r="P6" s="48">
        <v>0.8125</v>
      </c>
      <c r="Q6" s="49">
        <f t="shared" si="5"/>
        <v>0.8229166667</v>
      </c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8">
        <f t="shared" ref="A7:B7" si="7">+A6+1</f>
        <v>46075</v>
      </c>
      <c r="B7" s="39">
        <f t="shared" si="7"/>
        <v>4</v>
      </c>
      <c r="C7" s="40">
        <v>0.22430555555555556</v>
      </c>
      <c r="D7" s="41">
        <v>0.23611111111111113</v>
      </c>
      <c r="E7" s="42">
        <f t="shared" si="2"/>
        <v>0.2465277778</v>
      </c>
      <c r="F7" s="43">
        <v>0.2923611111111111</v>
      </c>
      <c r="G7" s="44">
        <v>0.5180555555555556</v>
      </c>
      <c r="H7" s="42">
        <v>0.53125</v>
      </c>
      <c r="I7" s="40">
        <v>0.6402777777777778</v>
      </c>
      <c r="J7" s="41">
        <v>0.6708333333333334</v>
      </c>
      <c r="K7" s="42">
        <v>0.6770833333333334</v>
      </c>
      <c r="L7" s="45">
        <f t="shared" si="3"/>
        <v>0.7298611111</v>
      </c>
      <c r="M7" s="46">
        <v>0.74375</v>
      </c>
      <c r="N7" s="42">
        <f t="shared" si="4"/>
        <v>0.7486111111</v>
      </c>
      <c r="O7" s="47">
        <v>0.7999999999999999</v>
      </c>
      <c r="P7" s="48">
        <v>0.8125</v>
      </c>
      <c r="Q7" s="50">
        <f t="shared" si="5"/>
        <v>0.8229166667</v>
      </c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8">
        <f t="shared" ref="A8:B8" si="8">+A7+1</f>
        <v>46076</v>
      </c>
      <c r="B8" s="39">
        <f t="shared" si="8"/>
        <v>5</v>
      </c>
      <c r="C8" s="40">
        <v>0.2236111111111111</v>
      </c>
      <c r="D8" s="41">
        <v>0.2354166666666667</v>
      </c>
      <c r="E8" s="42">
        <f t="shared" si="2"/>
        <v>0.2458333333</v>
      </c>
      <c r="F8" s="43">
        <v>0.29097222222222224</v>
      </c>
      <c r="G8" s="44">
        <v>0.5180555555555556</v>
      </c>
      <c r="H8" s="42">
        <v>0.53125</v>
      </c>
      <c r="I8" s="40">
        <v>0.6409722222222222</v>
      </c>
      <c r="J8" s="41">
        <v>0.6715277777777778</v>
      </c>
      <c r="K8" s="42">
        <v>0.6770833333333334</v>
      </c>
      <c r="L8" s="45">
        <f t="shared" si="3"/>
        <v>0.73125</v>
      </c>
      <c r="M8" s="46">
        <v>0.7451388888888889</v>
      </c>
      <c r="N8" s="42">
        <f t="shared" si="4"/>
        <v>0.75</v>
      </c>
      <c r="O8" s="47">
        <v>0.8006944444444444</v>
      </c>
      <c r="P8" s="48">
        <v>0.8125</v>
      </c>
      <c r="Q8" s="50">
        <f t="shared" si="5"/>
        <v>0.8229166667</v>
      </c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51">
        <f t="shared" ref="A9:B9" si="9">+A8+1</f>
        <v>46077</v>
      </c>
      <c r="B9" s="27">
        <f t="shared" si="9"/>
        <v>6</v>
      </c>
      <c r="C9" s="52">
        <v>0.2222222222222222</v>
      </c>
      <c r="D9" s="53">
        <v>0.2340277777777778</v>
      </c>
      <c r="E9" s="54">
        <f t="shared" si="2"/>
        <v>0.2444444444</v>
      </c>
      <c r="F9" s="55">
        <v>0.2902777777777778</v>
      </c>
      <c r="G9" s="56">
        <v>0.5180555555555556</v>
      </c>
      <c r="H9" s="54">
        <v>0.53125</v>
      </c>
      <c r="I9" s="52">
        <v>0.6416666666666667</v>
      </c>
      <c r="J9" s="53">
        <v>0.6729166666666666</v>
      </c>
      <c r="K9" s="54">
        <v>0.6770833333333334</v>
      </c>
      <c r="L9" s="57">
        <f t="shared" si="3"/>
        <v>0.7319444444</v>
      </c>
      <c r="M9" s="58">
        <v>0.7458333333333332</v>
      </c>
      <c r="N9" s="54">
        <f t="shared" si="4"/>
        <v>0.7506944444</v>
      </c>
      <c r="O9" s="59">
        <v>0.8020833333333334</v>
      </c>
      <c r="P9" s="60">
        <v>0.8125</v>
      </c>
      <c r="Q9" s="50">
        <f t="shared" si="5"/>
        <v>0.8229166667</v>
      </c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8">
        <f t="shared" ref="A10:B10" si="10">+A9+1</f>
        <v>46078</v>
      </c>
      <c r="B10" s="39">
        <f t="shared" si="10"/>
        <v>7</v>
      </c>
      <c r="C10" s="40">
        <v>0.22152777777777777</v>
      </c>
      <c r="D10" s="41">
        <v>0.2333333333333333</v>
      </c>
      <c r="E10" s="42">
        <f t="shared" si="2"/>
        <v>0.24375</v>
      </c>
      <c r="F10" s="43">
        <v>0.2888888888888889</v>
      </c>
      <c r="G10" s="44">
        <v>0.5180555555555556</v>
      </c>
      <c r="H10" s="42">
        <v>0.53125</v>
      </c>
      <c r="I10" s="40">
        <v>0.642361111111111</v>
      </c>
      <c r="J10" s="41">
        <v>0.6736111111111112</v>
      </c>
      <c r="K10" s="42">
        <v>0.6770833333333334</v>
      </c>
      <c r="L10" s="45">
        <f t="shared" si="3"/>
        <v>0.7326388889</v>
      </c>
      <c r="M10" s="46">
        <v>0.7465277777777778</v>
      </c>
      <c r="N10" s="42">
        <f t="shared" si="4"/>
        <v>0.7513888889</v>
      </c>
      <c r="O10" s="47">
        <v>0.8027777777777777</v>
      </c>
      <c r="P10" s="48">
        <v>0.8125</v>
      </c>
      <c r="Q10" s="50">
        <f t="shared" si="5"/>
        <v>0.8229166667</v>
      </c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1">
        <f t="shared" ref="A11:B11" si="11">+A10+1</f>
        <v>46079</v>
      </c>
      <c r="B11" s="62">
        <f t="shared" si="11"/>
        <v>8</v>
      </c>
      <c r="C11" s="63">
        <v>0.22013888888888888</v>
      </c>
      <c r="D11" s="64">
        <v>0.23194444444444443</v>
      </c>
      <c r="E11" s="65">
        <f t="shared" si="2"/>
        <v>0.2423611111</v>
      </c>
      <c r="F11" s="66">
        <v>0.28750000000000003</v>
      </c>
      <c r="G11" s="67">
        <v>0.5180555555555556</v>
      </c>
      <c r="H11" s="65">
        <v>0.53125</v>
      </c>
      <c r="I11" s="63">
        <v>0.6430555555555556</v>
      </c>
      <c r="J11" s="64">
        <v>0.6743055555555556</v>
      </c>
      <c r="K11" s="65">
        <v>0.6770833333333334</v>
      </c>
      <c r="L11" s="68">
        <f t="shared" si="3"/>
        <v>0.7340277778</v>
      </c>
      <c r="M11" s="69">
        <v>0.7479166666666667</v>
      </c>
      <c r="N11" s="65">
        <f t="shared" si="4"/>
        <v>0.7527777778</v>
      </c>
      <c r="O11" s="70">
        <v>0.8034722222222223</v>
      </c>
      <c r="P11" s="71">
        <v>0.8125</v>
      </c>
      <c r="Q11" s="50">
        <f t="shared" si="5"/>
        <v>0.8229166667</v>
      </c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6">
        <f t="shared" ref="A12:B12" si="12">+A11+1</f>
        <v>46080</v>
      </c>
      <c r="B12" s="27">
        <f t="shared" si="12"/>
        <v>9</v>
      </c>
      <c r="C12" s="28">
        <v>0.21875</v>
      </c>
      <c r="D12" s="29">
        <v>0.23055555555555554</v>
      </c>
      <c r="E12" s="29">
        <f t="shared" si="2"/>
        <v>0.2409722222</v>
      </c>
      <c r="F12" s="30">
        <v>0.28680555555555554</v>
      </c>
      <c r="G12" s="31">
        <v>0.517361111111111</v>
      </c>
      <c r="H12" s="32">
        <v>0.5729166666666666</v>
      </c>
      <c r="I12" s="28">
        <v>0.6437499999999999</v>
      </c>
      <c r="J12" s="29">
        <v>0.6749999999999999</v>
      </c>
      <c r="K12" s="33">
        <v>0.6875</v>
      </c>
      <c r="L12" s="34">
        <f t="shared" si="3"/>
        <v>0.7347222222</v>
      </c>
      <c r="M12" s="31">
        <v>0.748611111111111</v>
      </c>
      <c r="N12" s="33">
        <f t="shared" si="4"/>
        <v>0.7534722222</v>
      </c>
      <c r="O12" s="35">
        <v>0.8041666666666667</v>
      </c>
      <c r="P12" s="36">
        <v>0.8333333333333334</v>
      </c>
      <c r="Q12" s="37">
        <f t="shared" si="5"/>
        <v>0.84375</v>
      </c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14">
        <f t="shared" ref="A13:B13" si="13">+A12+1</f>
        <v>46081</v>
      </c>
      <c r="B13" s="15">
        <f t="shared" si="13"/>
        <v>10</v>
      </c>
      <c r="C13" s="16">
        <v>0.21805555555555556</v>
      </c>
      <c r="D13" s="17">
        <v>0.2298611111111111</v>
      </c>
      <c r="E13" s="18">
        <f t="shared" si="2"/>
        <v>0.2402777778</v>
      </c>
      <c r="F13" s="19">
        <v>0.28541666666666665</v>
      </c>
      <c r="G13" s="20">
        <v>0.517361111111111</v>
      </c>
      <c r="H13" s="18">
        <v>0.53125</v>
      </c>
      <c r="I13" s="16">
        <v>0.6444444444444445</v>
      </c>
      <c r="J13" s="17">
        <v>0.6756944444444444</v>
      </c>
      <c r="K13" s="18">
        <v>0.6875</v>
      </c>
      <c r="L13" s="21">
        <f t="shared" si="3"/>
        <v>0.7354166667</v>
      </c>
      <c r="M13" s="22">
        <v>0.7493055555555556</v>
      </c>
      <c r="N13" s="18">
        <f t="shared" si="4"/>
        <v>0.7541666667</v>
      </c>
      <c r="O13" s="23">
        <v>0.8055555555555555</v>
      </c>
      <c r="P13" s="24">
        <v>0.8333333333333334</v>
      </c>
      <c r="Q13" s="50">
        <f t="shared" si="5"/>
        <v>0.84375</v>
      </c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8">
        <f t="shared" ref="A14:B14" si="14">+A13+1</f>
        <v>46082</v>
      </c>
      <c r="B14" s="39">
        <f t="shared" si="14"/>
        <v>11</v>
      </c>
      <c r="C14" s="40">
        <v>0.21666666666666667</v>
      </c>
      <c r="D14" s="41">
        <v>0.22847222222222222</v>
      </c>
      <c r="E14" s="42">
        <f t="shared" si="2"/>
        <v>0.2388888889</v>
      </c>
      <c r="F14" s="43">
        <v>0.28402777777777777</v>
      </c>
      <c r="G14" s="44">
        <v>0.517361111111111</v>
      </c>
      <c r="H14" s="42">
        <v>0.53125</v>
      </c>
      <c r="I14" s="40">
        <v>0.6451388888888888</v>
      </c>
      <c r="J14" s="41">
        <v>0.6770833333333334</v>
      </c>
      <c r="K14" s="42">
        <v>0.6875</v>
      </c>
      <c r="L14" s="45">
        <f t="shared" si="3"/>
        <v>0.7368055556</v>
      </c>
      <c r="M14" s="46">
        <v>0.7506944444444444</v>
      </c>
      <c r="N14" s="42">
        <f t="shared" si="4"/>
        <v>0.7555555556</v>
      </c>
      <c r="O14" s="47">
        <v>0.80625</v>
      </c>
      <c r="P14" s="48">
        <v>0.8333333333333334</v>
      </c>
      <c r="Q14" s="50">
        <f t="shared" si="5"/>
        <v>0.84375</v>
      </c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8">
        <f t="shared" ref="A15:B15" si="15">+A14+1</f>
        <v>46083</v>
      </c>
      <c r="B15" s="39">
        <f t="shared" si="15"/>
        <v>12</v>
      </c>
      <c r="C15" s="40">
        <v>0.2152777777777778</v>
      </c>
      <c r="D15" s="41">
        <v>0.22708333333333333</v>
      </c>
      <c r="E15" s="42">
        <f t="shared" si="2"/>
        <v>0.2375</v>
      </c>
      <c r="F15" s="43">
        <v>0.2826388888888889</v>
      </c>
      <c r="G15" s="44">
        <v>0.517361111111111</v>
      </c>
      <c r="H15" s="42">
        <v>0.53125</v>
      </c>
      <c r="I15" s="40">
        <v>0.6458333333333334</v>
      </c>
      <c r="J15" s="41">
        <v>0.6777777777777777</v>
      </c>
      <c r="K15" s="42">
        <v>0.6875</v>
      </c>
      <c r="L15" s="45">
        <f t="shared" si="3"/>
        <v>0.7375</v>
      </c>
      <c r="M15" s="46">
        <v>0.751388888888889</v>
      </c>
      <c r="N15" s="42">
        <f t="shared" si="4"/>
        <v>0.75625</v>
      </c>
      <c r="O15" s="47">
        <v>0.8069444444444445</v>
      </c>
      <c r="P15" s="48">
        <v>0.8333333333333334</v>
      </c>
      <c r="Q15" s="50">
        <f t="shared" si="5"/>
        <v>0.84375</v>
      </c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51">
        <f t="shared" ref="A16:B16" si="16">+A15+1</f>
        <v>46084</v>
      </c>
      <c r="B16" s="27">
        <f t="shared" si="16"/>
        <v>13</v>
      </c>
      <c r="C16" s="52">
        <v>0.2138888888888889</v>
      </c>
      <c r="D16" s="53">
        <v>0.22569444444444445</v>
      </c>
      <c r="E16" s="54">
        <f t="shared" si="2"/>
        <v>0.2361111111</v>
      </c>
      <c r="F16" s="55">
        <v>0.28194444444444444</v>
      </c>
      <c r="G16" s="56">
        <v>0.517361111111111</v>
      </c>
      <c r="H16" s="54">
        <v>0.53125</v>
      </c>
      <c r="I16" s="52">
        <v>0.6465277777777778</v>
      </c>
      <c r="J16" s="53">
        <v>0.6784722222222223</v>
      </c>
      <c r="K16" s="54">
        <v>0.6875</v>
      </c>
      <c r="L16" s="57">
        <f t="shared" si="3"/>
        <v>0.7381944444</v>
      </c>
      <c r="M16" s="58">
        <v>0.7520833333333333</v>
      </c>
      <c r="N16" s="54">
        <f t="shared" si="4"/>
        <v>0.7569444444</v>
      </c>
      <c r="O16" s="59">
        <v>0.8083333333333332</v>
      </c>
      <c r="P16" s="60">
        <v>0.8333333333333334</v>
      </c>
      <c r="Q16" s="50">
        <f t="shared" si="5"/>
        <v>0.84375</v>
      </c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8">
        <f t="shared" ref="A17:B17" si="17">+A16+1</f>
        <v>46085</v>
      </c>
      <c r="B17" s="39">
        <f t="shared" si="17"/>
        <v>14</v>
      </c>
      <c r="C17" s="40">
        <v>0.21319444444444444</v>
      </c>
      <c r="D17" s="41">
        <v>0.225</v>
      </c>
      <c r="E17" s="42">
        <f t="shared" si="2"/>
        <v>0.2354166667</v>
      </c>
      <c r="F17" s="43">
        <v>0.28055555555555556</v>
      </c>
      <c r="G17" s="44">
        <v>0.5166666666666667</v>
      </c>
      <c r="H17" s="42">
        <v>0.53125</v>
      </c>
      <c r="I17" s="40">
        <v>0.6465277777777778</v>
      </c>
      <c r="J17" s="41">
        <v>0.6791666666666667</v>
      </c>
      <c r="K17" s="42">
        <v>0.6875</v>
      </c>
      <c r="L17" s="45">
        <f t="shared" si="3"/>
        <v>0.7395833333</v>
      </c>
      <c r="M17" s="46">
        <v>0.7534722222222222</v>
      </c>
      <c r="N17" s="42">
        <f t="shared" si="4"/>
        <v>0.7583333333</v>
      </c>
      <c r="O17" s="47">
        <v>0.8090277777777778</v>
      </c>
      <c r="P17" s="48">
        <v>0.8333333333333334</v>
      </c>
      <c r="Q17" s="50">
        <f t="shared" si="5"/>
        <v>0.84375</v>
      </c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1">
        <f t="shared" ref="A18:B18" si="18">+A17+1</f>
        <v>46086</v>
      </c>
      <c r="B18" s="62">
        <f t="shared" si="18"/>
        <v>15</v>
      </c>
      <c r="C18" s="63">
        <v>0.21180555555555555</v>
      </c>
      <c r="D18" s="64">
        <v>0.2236111111111111</v>
      </c>
      <c r="E18" s="65">
        <f t="shared" si="2"/>
        <v>0.2340277778</v>
      </c>
      <c r="F18" s="66">
        <v>0.2791666666666667</v>
      </c>
      <c r="G18" s="67">
        <v>0.5166666666666667</v>
      </c>
      <c r="H18" s="65">
        <v>0.53125</v>
      </c>
      <c r="I18" s="63">
        <v>0.6472222222222223</v>
      </c>
      <c r="J18" s="64">
        <v>0.6798611111111111</v>
      </c>
      <c r="K18" s="65">
        <v>0.6875</v>
      </c>
      <c r="L18" s="68">
        <f t="shared" si="3"/>
        <v>0.7402777778</v>
      </c>
      <c r="M18" s="69">
        <v>0.7541666666666668</v>
      </c>
      <c r="N18" s="65">
        <f t="shared" si="4"/>
        <v>0.7590277778</v>
      </c>
      <c r="O18" s="70">
        <v>0.8097222222222222</v>
      </c>
      <c r="P18" s="71">
        <v>0.8333333333333334</v>
      </c>
      <c r="Q18" s="50">
        <f t="shared" si="5"/>
        <v>0.84375</v>
      </c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6">
        <f t="shared" ref="A19:B19" si="19">+A18+1</f>
        <v>46087</v>
      </c>
      <c r="B19" s="27">
        <f t="shared" si="19"/>
        <v>16</v>
      </c>
      <c r="C19" s="28">
        <v>0.21041666666666667</v>
      </c>
      <c r="D19" s="29">
        <v>0.2222222222222222</v>
      </c>
      <c r="E19" s="29">
        <f t="shared" si="2"/>
        <v>0.2326388889</v>
      </c>
      <c r="F19" s="30">
        <v>0.2777777777777778</v>
      </c>
      <c r="G19" s="31">
        <v>0.5166666666666667</v>
      </c>
      <c r="H19" s="32">
        <v>0.5729166666666666</v>
      </c>
      <c r="I19" s="28">
        <v>0.6479166666666667</v>
      </c>
      <c r="J19" s="29">
        <v>0.6805555555555555</v>
      </c>
      <c r="K19" s="33">
        <v>0.6875</v>
      </c>
      <c r="L19" s="34">
        <f t="shared" si="3"/>
        <v>0.7409722222</v>
      </c>
      <c r="M19" s="31">
        <v>0.7548611111111111</v>
      </c>
      <c r="N19" s="33">
        <f t="shared" si="4"/>
        <v>0.7597222222</v>
      </c>
      <c r="O19" s="35">
        <v>0.811111111111111</v>
      </c>
      <c r="P19" s="36">
        <v>0.8333333333333334</v>
      </c>
      <c r="Q19" s="37">
        <f t="shared" si="5"/>
        <v>0.84375</v>
      </c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4">
        <f t="shared" ref="A20:B20" si="20">+A19+1</f>
        <v>46088</v>
      </c>
      <c r="B20" s="15">
        <f t="shared" si="20"/>
        <v>17</v>
      </c>
      <c r="C20" s="16">
        <v>0.20902777777777778</v>
      </c>
      <c r="D20" s="17">
        <v>0.22083333333333333</v>
      </c>
      <c r="E20" s="18">
        <f t="shared" si="2"/>
        <v>0.23125</v>
      </c>
      <c r="F20" s="19">
        <v>0.27708333333333335</v>
      </c>
      <c r="G20" s="20">
        <v>0.5166666666666667</v>
      </c>
      <c r="H20" s="18">
        <v>0.53125</v>
      </c>
      <c r="I20" s="16">
        <v>0.6486111111111111</v>
      </c>
      <c r="J20" s="17">
        <v>0.68125</v>
      </c>
      <c r="K20" s="18">
        <v>0.6875</v>
      </c>
      <c r="L20" s="21">
        <f t="shared" si="3"/>
        <v>0.7423611111</v>
      </c>
      <c r="M20" s="22">
        <v>0.75625</v>
      </c>
      <c r="N20" s="18">
        <f t="shared" si="4"/>
        <v>0.7611111111</v>
      </c>
      <c r="O20" s="23">
        <v>0.8118055555555556</v>
      </c>
      <c r="P20" s="24">
        <v>0.8333333333333334</v>
      </c>
      <c r="Q20" s="50">
        <f t="shared" si="5"/>
        <v>0.84375</v>
      </c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72">
        <f t="shared" ref="A21:B21" si="21">+A20+1</f>
        <v>46089</v>
      </c>
      <c r="B21" s="73">
        <f t="shared" si="21"/>
        <v>18</v>
      </c>
      <c r="C21" s="74">
        <v>0.24930555555555556</v>
      </c>
      <c r="D21" s="75">
        <v>0.26180555555555557</v>
      </c>
      <c r="E21" s="76">
        <f t="shared" si="2"/>
        <v>0.2722222222</v>
      </c>
      <c r="F21" s="77">
        <v>0.31736111111111115</v>
      </c>
      <c r="G21" s="78">
        <v>0.5576388888888889</v>
      </c>
      <c r="H21" s="79">
        <v>0.5729166666666666</v>
      </c>
      <c r="I21" s="74">
        <v>0.6909722222222222</v>
      </c>
      <c r="J21" s="75">
        <v>0.7236111111111111</v>
      </c>
      <c r="K21" s="76">
        <v>0.7395833333333334</v>
      </c>
      <c r="L21" s="80">
        <f t="shared" si="3"/>
        <v>0.7847222222</v>
      </c>
      <c r="M21" s="78">
        <v>0.7986111111111112</v>
      </c>
      <c r="N21" s="76">
        <f t="shared" si="4"/>
        <v>0.8034722222</v>
      </c>
      <c r="O21" s="81">
        <v>0.8541666666666666</v>
      </c>
      <c r="P21" s="82">
        <v>0.875</v>
      </c>
      <c r="Q21" s="50">
        <f t="shared" si="5"/>
        <v>0.8854166667</v>
      </c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8">
        <f t="shared" ref="A22:B22" si="22">+A21+1</f>
        <v>46090</v>
      </c>
      <c r="B22" s="39">
        <f t="shared" si="22"/>
        <v>19</v>
      </c>
      <c r="C22" s="40">
        <v>0.24861111111111112</v>
      </c>
      <c r="D22" s="41">
        <v>0.2604166666666667</v>
      </c>
      <c r="E22" s="42">
        <f t="shared" si="2"/>
        <v>0.2708333333</v>
      </c>
      <c r="F22" s="43">
        <v>0.3159722222222222</v>
      </c>
      <c r="G22" s="44">
        <v>0.5576388888888889</v>
      </c>
      <c r="H22" s="42">
        <v>0.5729166666666666</v>
      </c>
      <c r="I22" s="40">
        <v>0.6916666666666668</v>
      </c>
      <c r="J22" s="41">
        <v>0.7243055555555555</v>
      </c>
      <c r="K22" s="42">
        <v>0.7395833333333334</v>
      </c>
      <c r="L22" s="45">
        <f t="shared" si="3"/>
        <v>0.7854166667</v>
      </c>
      <c r="M22" s="46">
        <v>0.7993055555555556</v>
      </c>
      <c r="N22" s="42">
        <f t="shared" si="4"/>
        <v>0.8041666667</v>
      </c>
      <c r="O22" s="47">
        <v>0.8555555555555556</v>
      </c>
      <c r="P22" s="48">
        <v>0.875</v>
      </c>
      <c r="Q22" s="50">
        <f t="shared" si="5"/>
        <v>0.8854166667</v>
      </c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51">
        <f t="shared" ref="A23:B23" si="23">+A22+1</f>
        <v>46091</v>
      </c>
      <c r="B23" s="27">
        <f t="shared" si="23"/>
        <v>20</v>
      </c>
      <c r="C23" s="52">
        <v>0.24722222222222223</v>
      </c>
      <c r="D23" s="53">
        <v>0.2590277777777778</v>
      </c>
      <c r="E23" s="54">
        <f t="shared" si="2"/>
        <v>0.2694444444</v>
      </c>
      <c r="F23" s="55">
        <v>0.3145833333333333</v>
      </c>
      <c r="G23" s="56">
        <v>0.5576388888888889</v>
      </c>
      <c r="H23" s="54">
        <v>0.5729166666666666</v>
      </c>
      <c r="I23" s="52">
        <v>0.6916666666666668</v>
      </c>
      <c r="J23" s="53">
        <v>0.7256944444444445</v>
      </c>
      <c r="K23" s="54">
        <v>0.7395833333333334</v>
      </c>
      <c r="L23" s="57">
        <f t="shared" si="3"/>
        <v>0.7868055556</v>
      </c>
      <c r="M23" s="58">
        <v>0.8006944444444444</v>
      </c>
      <c r="N23" s="54">
        <f t="shared" si="4"/>
        <v>0.8055555556</v>
      </c>
      <c r="O23" s="59">
        <v>0.8562500000000001</v>
      </c>
      <c r="P23" s="60">
        <v>0.875</v>
      </c>
      <c r="Q23" s="50">
        <f t="shared" si="5"/>
        <v>0.8854166667</v>
      </c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8">
        <f t="shared" ref="A24:B24" si="24">+A23+1</f>
        <v>46092</v>
      </c>
      <c r="B24" s="39">
        <f t="shared" si="24"/>
        <v>21</v>
      </c>
      <c r="C24" s="40">
        <v>0.24583333333333335</v>
      </c>
      <c r="D24" s="41">
        <v>0.2576388888888889</v>
      </c>
      <c r="E24" s="42">
        <f t="shared" si="2"/>
        <v>0.2680555556</v>
      </c>
      <c r="F24" s="43">
        <v>0.31319444444444444</v>
      </c>
      <c r="G24" s="44">
        <v>0.5576388888888889</v>
      </c>
      <c r="H24" s="42">
        <v>0.5729166666666666</v>
      </c>
      <c r="I24" s="40">
        <v>0.6923611111111111</v>
      </c>
      <c r="J24" s="41">
        <v>0.7263888888888889</v>
      </c>
      <c r="K24" s="42">
        <v>0.7395833333333334</v>
      </c>
      <c r="L24" s="45">
        <f t="shared" si="3"/>
        <v>0.7875</v>
      </c>
      <c r="M24" s="46">
        <v>0.8013888888888889</v>
      </c>
      <c r="N24" s="42">
        <f t="shared" si="4"/>
        <v>0.80625</v>
      </c>
      <c r="O24" s="47">
        <v>0.8569444444444444</v>
      </c>
      <c r="P24" s="48">
        <v>0.875</v>
      </c>
      <c r="Q24" s="50">
        <f t="shared" si="5"/>
        <v>0.8854166667</v>
      </c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1">
        <f t="shared" ref="A25:B25" si="25">+A24+1</f>
        <v>46093</v>
      </c>
      <c r="B25" s="62">
        <f t="shared" si="25"/>
        <v>22</v>
      </c>
      <c r="C25" s="63">
        <v>0.24444444444444446</v>
      </c>
      <c r="D25" s="64">
        <v>0.25625000000000003</v>
      </c>
      <c r="E25" s="65">
        <f t="shared" si="2"/>
        <v>0.2666666667</v>
      </c>
      <c r="F25" s="66">
        <v>0.31180555555555556</v>
      </c>
      <c r="G25" s="67">
        <v>0.5569444444444445</v>
      </c>
      <c r="H25" s="65">
        <v>0.5729166666666666</v>
      </c>
      <c r="I25" s="63">
        <v>0.6930555555555555</v>
      </c>
      <c r="J25" s="64">
        <v>0.7270833333333333</v>
      </c>
      <c r="K25" s="65">
        <v>0.7395833333333334</v>
      </c>
      <c r="L25" s="68">
        <f t="shared" si="3"/>
        <v>0.7881944444</v>
      </c>
      <c r="M25" s="69">
        <v>0.8020833333333334</v>
      </c>
      <c r="N25" s="65">
        <f t="shared" si="4"/>
        <v>0.8069444444</v>
      </c>
      <c r="O25" s="70">
        <v>0.8583333333333334</v>
      </c>
      <c r="P25" s="71">
        <v>0.875</v>
      </c>
      <c r="Q25" s="50">
        <f t="shared" si="5"/>
        <v>0.8854166667</v>
      </c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6">
        <f t="shared" ref="A26:B26" si="26">+A25+1</f>
        <v>46094</v>
      </c>
      <c r="B26" s="27">
        <f t="shared" si="26"/>
        <v>23</v>
      </c>
      <c r="C26" s="28">
        <v>0.24305555555555555</v>
      </c>
      <c r="D26" s="29">
        <v>0.2548611111111111</v>
      </c>
      <c r="E26" s="29">
        <f t="shared" si="2"/>
        <v>0.2652777778</v>
      </c>
      <c r="F26" s="30">
        <v>0.3111111111111111</v>
      </c>
      <c r="G26" s="31">
        <v>0.5569444444444445</v>
      </c>
      <c r="H26" s="32">
        <v>0.579861111111111</v>
      </c>
      <c r="I26" s="28">
        <v>0.69375</v>
      </c>
      <c r="J26" s="29">
        <v>0.7277777777777777</v>
      </c>
      <c r="K26" s="33">
        <v>0.7395833333333334</v>
      </c>
      <c r="L26" s="34">
        <f t="shared" si="3"/>
        <v>0.7888888889</v>
      </c>
      <c r="M26" s="31">
        <v>0.8027777777777777</v>
      </c>
      <c r="N26" s="33">
        <f t="shared" si="4"/>
        <v>0.8076388889</v>
      </c>
      <c r="O26" s="35">
        <v>0.8590277777777778</v>
      </c>
      <c r="P26" s="36">
        <v>0.875</v>
      </c>
      <c r="Q26" s="37">
        <f t="shared" si="5"/>
        <v>0.8854166667</v>
      </c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4">
        <f t="shared" ref="A27:B27" si="27">+A26+1</f>
        <v>46095</v>
      </c>
      <c r="B27" s="15">
        <f t="shared" si="27"/>
        <v>24</v>
      </c>
      <c r="C27" s="16">
        <v>0.24166666666666667</v>
      </c>
      <c r="D27" s="17">
        <v>0.2534722222222222</v>
      </c>
      <c r="E27" s="18">
        <f t="shared" si="2"/>
        <v>0.2638888889</v>
      </c>
      <c r="F27" s="19">
        <v>0.30972222222222223</v>
      </c>
      <c r="G27" s="20">
        <v>0.5569444444444445</v>
      </c>
      <c r="H27" s="18">
        <v>0.5729166666666666</v>
      </c>
      <c r="I27" s="16">
        <v>0.6944444444444445</v>
      </c>
      <c r="J27" s="17">
        <v>0.7284722222222223</v>
      </c>
      <c r="K27" s="18">
        <v>0.7395833333333334</v>
      </c>
      <c r="L27" s="21">
        <f t="shared" si="3"/>
        <v>0.7902777778</v>
      </c>
      <c r="M27" s="22">
        <v>0.8041666666666667</v>
      </c>
      <c r="N27" s="18">
        <f t="shared" si="4"/>
        <v>0.8090277778</v>
      </c>
      <c r="O27" s="23">
        <v>0.8597222222222222</v>
      </c>
      <c r="P27" s="24">
        <v>0.875</v>
      </c>
      <c r="Q27" s="50">
        <f t="shared" si="5"/>
        <v>0.8854166667</v>
      </c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8">
        <f t="shared" ref="A28:B28" si="28">+A27+1</f>
        <v>46096</v>
      </c>
      <c r="B28" s="39">
        <f t="shared" si="28"/>
        <v>25</v>
      </c>
      <c r="C28" s="40">
        <v>0.24027777777777778</v>
      </c>
      <c r="D28" s="41">
        <v>0.2520833333333333</v>
      </c>
      <c r="E28" s="42">
        <f t="shared" si="2"/>
        <v>0.2625</v>
      </c>
      <c r="F28" s="43">
        <v>0.30833333333333335</v>
      </c>
      <c r="G28" s="44">
        <v>0.5569444444444445</v>
      </c>
      <c r="H28" s="42">
        <v>0.5729166666666666</v>
      </c>
      <c r="I28" s="40">
        <v>0.6944444444444445</v>
      </c>
      <c r="J28" s="41">
        <v>0.7291666666666666</v>
      </c>
      <c r="K28" s="42">
        <v>0.7395833333333334</v>
      </c>
      <c r="L28" s="45">
        <f t="shared" si="3"/>
        <v>0.7909722222</v>
      </c>
      <c r="M28" s="46">
        <v>0.8048611111111111</v>
      </c>
      <c r="N28" s="42">
        <f t="shared" si="4"/>
        <v>0.8097222222</v>
      </c>
      <c r="O28" s="47">
        <v>0.8611111111111112</v>
      </c>
      <c r="P28" s="48">
        <v>0.875</v>
      </c>
      <c r="Q28" s="50">
        <f t="shared" si="5"/>
        <v>0.8854166667</v>
      </c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8">
        <f t="shared" ref="A29:B29" si="29">+A28+1</f>
        <v>46097</v>
      </c>
      <c r="B29" s="39">
        <f t="shared" si="29"/>
        <v>26</v>
      </c>
      <c r="C29" s="40">
        <v>0.2388888888888889</v>
      </c>
      <c r="D29" s="41">
        <v>0.2513888888888889</v>
      </c>
      <c r="E29" s="42">
        <f t="shared" si="2"/>
        <v>0.2618055556</v>
      </c>
      <c r="F29" s="43">
        <v>0.3069444444444444</v>
      </c>
      <c r="G29" s="44">
        <v>0.55625</v>
      </c>
      <c r="H29" s="42">
        <v>0.5729166666666666</v>
      </c>
      <c r="I29" s="40">
        <v>0.6951388888888889</v>
      </c>
      <c r="J29" s="41">
        <v>0.7298611111111111</v>
      </c>
      <c r="K29" s="42">
        <v>0.7395833333333334</v>
      </c>
      <c r="L29" s="45">
        <f t="shared" si="3"/>
        <v>0.7916666667</v>
      </c>
      <c r="M29" s="46">
        <v>0.8055555555555555</v>
      </c>
      <c r="N29" s="42">
        <f t="shared" si="4"/>
        <v>0.8104166667</v>
      </c>
      <c r="O29" s="47">
        <v>0.8618055555555556</v>
      </c>
      <c r="P29" s="48">
        <v>0.875</v>
      </c>
      <c r="Q29" s="50">
        <f t="shared" si="5"/>
        <v>0.8854166667</v>
      </c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51">
        <f t="shared" ref="A30:B30" si="30">+A29+1</f>
        <v>46098</v>
      </c>
      <c r="B30" s="27">
        <f t="shared" si="30"/>
        <v>27</v>
      </c>
      <c r="C30" s="52">
        <v>0.23750000000000002</v>
      </c>
      <c r="D30" s="53">
        <v>0.25</v>
      </c>
      <c r="E30" s="54">
        <f t="shared" si="2"/>
        <v>0.2604166667</v>
      </c>
      <c r="F30" s="55">
        <v>0.3055555555555555</v>
      </c>
      <c r="G30" s="56">
        <v>0.55625</v>
      </c>
      <c r="H30" s="54">
        <v>0.5729166666666666</v>
      </c>
      <c r="I30" s="52">
        <v>0.6958333333333333</v>
      </c>
      <c r="J30" s="53">
        <v>0.7305555555555556</v>
      </c>
      <c r="K30" s="54">
        <v>0.7395833333333334</v>
      </c>
      <c r="L30" s="57">
        <f t="shared" si="3"/>
        <v>0.7930555556</v>
      </c>
      <c r="M30" s="58">
        <v>0.8069444444444445</v>
      </c>
      <c r="N30" s="54">
        <f t="shared" si="4"/>
        <v>0.8118055556</v>
      </c>
      <c r="O30" s="59">
        <v>0.8624999999999999</v>
      </c>
      <c r="P30" s="60">
        <v>0.875</v>
      </c>
      <c r="Q30" s="37">
        <f t="shared" si="5"/>
        <v>0.8854166667</v>
      </c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8">
        <f t="shared" ref="A31:B31" si="31">+A30+1</f>
        <v>46099</v>
      </c>
      <c r="B31" s="39">
        <f t="shared" si="31"/>
        <v>28</v>
      </c>
      <c r="C31" s="40">
        <v>0.23611111111111113</v>
      </c>
      <c r="D31" s="41">
        <v>0.24861111111111112</v>
      </c>
      <c r="E31" s="42">
        <f t="shared" si="2"/>
        <v>0.2590277778</v>
      </c>
      <c r="F31" s="43">
        <v>0.30416666666666664</v>
      </c>
      <c r="G31" s="44">
        <v>0.55625</v>
      </c>
      <c r="H31" s="42">
        <v>0.5729166666666666</v>
      </c>
      <c r="I31" s="40">
        <v>0.6965277777777777</v>
      </c>
      <c r="J31" s="41">
        <v>0.7312500000000001</v>
      </c>
      <c r="K31" s="42">
        <v>0.7395833333333334</v>
      </c>
      <c r="L31" s="45">
        <f t="shared" si="3"/>
        <v>0.79375</v>
      </c>
      <c r="M31" s="46">
        <v>0.8076388888888889</v>
      </c>
      <c r="N31" s="42">
        <f t="shared" si="4"/>
        <v>0.8125</v>
      </c>
      <c r="O31" s="47">
        <v>0.8638888888888889</v>
      </c>
      <c r="P31" s="48">
        <v>0.875</v>
      </c>
      <c r="Q31" s="50">
        <f t="shared" si="5"/>
        <v>0.8854166667</v>
      </c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61">
        <f t="shared" ref="A32:B32" si="32">+A31+1</f>
        <v>46100</v>
      </c>
      <c r="B32" s="62">
        <f t="shared" si="32"/>
        <v>29</v>
      </c>
      <c r="C32" s="63">
        <v>0.2347222222222222</v>
      </c>
      <c r="D32" s="64">
        <v>0.24722222222222223</v>
      </c>
      <c r="E32" s="65">
        <f t="shared" si="2"/>
        <v>0.2576388889</v>
      </c>
      <c r="F32" s="66">
        <v>0.3034722222222222</v>
      </c>
      <c r="G32" s="67">
        <v>0.5555555555555556</v>
      </c>
      <c r="H32" s="65">
        <v>0.5729166666666666</v>
      </c>
      <c r="I32" s="63">
        <v>0.6965277777777777</v>
      </c>
      <c r="J32" s="64">
        <v>0.7319444444444444</v>
      </c>
      <c r="K32" s="65">
        <v>0.7395833333333334</v>
      </c>
      <c r="L32" s="68">
        <f t="shared" si="3"/>
        <v>0.7944444444</v>
      </c>
      <c r="M32" s="69">
        <v>0.8083333333333332</v>
      </c>
      <c r="N32" s="65">
        <f t="shared" si="4"/>
        <v>0.8131944444</v>
      </c>
      <c r="O32" s="70">
        <v>0.8645833333333334</v>
      </c>
      <c r="P32" s="71">
        <v>0.875</v>
      </c>
      <c r="Q32" s="50">
        <f t="shared" si="5"/>
        <v>0.8854166667</v>
      </c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83">
        <f t="shared" ref="A33:B33" si="33">+A32+1</f>
        <v>46101</v>
      </c>
      <c r="B33" s="84">
        <f t="shared" si="33"/>
        <v>30</v>
      </c>
      <c r="C33" s="85">
        <v>0.2333333333333333</v>
      </c>
      <c r="D33" s="86">
        <v>0.24583333333333335</v>
      </c>
      <c r="E33" s="86">
        <f t="shared" si="2"/>
        <v>0.25625</v>
      </c>
      <c r="F33" s="87">
        <v>0.3020833333333333</v>
      </c>
      <c r="G33" s="88">
        <v>0.5555555555555556</v>
      </c>
      <c r="H33" s="89">
        <v>0.579861111111111</v>
      </c>
      <c r="I33" s="85">
        <v>0.6972222222222223</v>
      </c>
      <c r="J33" s="86">
        <v>0.7326388888888888</v>
      </c>
      <c r="K33" s="90">
        <v>0.75</v>
      </c>
      <c r="L33" s="91">
        <f t="shared" si="3"/>
        <v>0.7958333333</v>
      </c>
      <c r="M33" s="88">
        <v>0.8097222222222222</v>
      </c>
      <c r="N33" s="90">
        <f t="shared" si="4"/>
        <v>0.8145833333</v>
      </c>
      <c r="O33" s="92">
        <v>0.8659722222222223</v>
      </c>
      <c r="P33" s="93">
        <v>0.8854166666666666</v>
      </c>
      <c r="Q33" s="37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94" t="s">
        <v>17</v>
      </c>
      <c r="B34" s="95"/>
      <c r="C34" s="95"/>
      <c r="D34" s="96"/>
      <c r="E34" s="97"/>
      <c r="F34" s="98"/>
      <c r="G34" s="99"/>
      <c r="H34" s="2"/>
      <c r="I34" s="2"/>
      <c r="J34" s="2"/>
      <c r="K34" s="2"/>
      <c r="L34" s="2"/>
      <c r="M34" s="2"/>
      <c r="N34" s="2"/>
      <c r="O34" s="2"/>
      <c r="P34" s="100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101" t="s">
        <v>18</v>
      </c>
      <c r="B35" s="101"/>
      <c r="C35" s="101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00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01" t="s">
        <v>19</v>
      </c>
      <c r="B36" s="101"/>
      <c r="C36" s="101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00" t="s">
        <v>20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02" t="s">
        <v>21</v>
      </c>
      <c r="B37" s="102"/>
      <c r="C37" s="102"/>
      <c r="D37" s="103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0" t="s">
        <v>22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02" t="s">
        <v>23</v>
      </c>
      <c r="B38" s="102"/>
      <c r="C38" s="102"/>
      <c r="D38" s="103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 t="s">
        <v>24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3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3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3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3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3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3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3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3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3"/>
      <c r="B47" s="3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3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3"/>
      <c r="B49" s="3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3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3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3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3"/>
      <c r="B53" s="3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3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3"/>
      <c r="B55" s="3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3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3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3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3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3"/>
      <c r="B60" s="3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3"/>
      <c r="B61" s="3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3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3"/>
      <c r="B63" s="3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3"/>
      <c r="B64" s="3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3"/>
      <c r="B65" s="3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3"/>
      <c r="B66" s="3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3"/>
      <c r="B67" s="3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3"/>
      <c r="B68" s="3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3"/>
      <c r="B69" s="3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3"/>
      <c r="B70" s="3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3"/>
      <c r="B71" s="3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3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3"/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3"/>
      <c r="B74" s="3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3"/>
      <c r="B75" s="3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3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3"/>
      <c r="B77" s="3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3"/>
      <c r="B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3"/>
      <c r="B79" s="3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3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3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3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3"/>
      <c r="B83" s="3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3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3"/>
      <c r="B85" s="3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3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3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3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3"/>
      <c r="B89" s="3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3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3"/>
      <c r="B91" s="3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3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3"/>
      <c r="B93" s="3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3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3"/>
      <c r="B95" s="3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3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3"/>
      <c r="B97" s="3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3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3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3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3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3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3"/>
      <c r="B103" s="3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3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3"/>
      <c r="B105" s="3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3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3"/>
      <c r="B107" s="3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3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3"/>
      <c r="B109" s="3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3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3"/>
      <c r="B111" s="3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3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3"/>
      <c r="B113" s="3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3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3"/>
      <c r="B115" s="3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3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3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3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3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3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3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3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3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3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3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3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3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3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3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3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3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3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3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3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3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3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3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3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3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3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3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3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3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3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3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3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3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3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3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3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3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3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3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3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3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3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3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3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3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3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3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3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3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3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3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3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3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3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3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3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3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3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3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3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3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3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3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3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3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3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3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3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3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3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3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3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3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3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3"/>
      <c r="B189" s="3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3"/>
      <c r="B190" s="3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3"/>
      <c r="B191" s="3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3"/>
      <c r="B192" s="3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3"/>
      <c r="B193" s="3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3"/>
      <c r="B194" s="3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3"/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3"/>
      <c r="B196" s="3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3"/>
      <c r="B197" s="3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3"/>
      <c r="B198" s="3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3"/>
      <c r="B199" s="3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3"/>
      <c r="B200" s="3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3"/>
      <c r="B201" s="3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3"/>
      <c r="B202" s="3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3"/>
      <c r="B203" s="3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3"/>
      <c r="B204" s="3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3"/>
      <c r="B205" s="3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3"/>
      <c r="B206" s="3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3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3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3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3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3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3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3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3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3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3"/>
      <c r="B216" s="3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3"/>
      <c r="B217" s="3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3"/>
      <c r="B218" s="3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3"/>
      <c r="B219" s="3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3"/>
      <c r="B220" s="3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3"/>
      <c r="B221" s="3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3"/>
      <c r="B222" s="3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3"/>
      <c r="B223" s="3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3"/>
      <c r="B224" s="3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3"/>
      <c r="B225" s="3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3"/>
      <c r="B226" s="3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3"/>
      <c r="B227" s="3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3"/>
      <c r="B228" s="3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3"/>
      <c r="B229" s="3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3"/>
      <c r="B230" s="3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3"/>
      <c r="B231" s="3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3"/>
      <c r="B232" s="3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3"/>
      <c r="B233" s="3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3"/>
      <c r="B234" s="3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3"/>
      <c r="B235" s="3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3"/>
      <c r="B236" s="3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3"/>
      <c r="B237" s="3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3"/>
      <c r="B238" s="3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3"/>
      <c r="B239" s="3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3"/>
      <c r="B240" s="3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3"/>
      <c r="B241" s="3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3"/>
      <c r="B242" s="3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3"/>
      <c r="B243" s="3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3"/>
      <c r="B244" s="3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3"/>
      <c r="B245" s="3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3"/>
      <c r="B246" s="3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3"/>
      <c r="B247" s="3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3"/>
      <c r="B248" s="3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3"/>
      <c r="B249" s="3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3"/>
      <c r="B250" s="3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3"/>
      <c r="B251" s="3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3"/>
      <c r="B252" s="3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3"/>
      <c r="B253" s="3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3"/>
      <c r="B254" s="3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3"/>
      <c r="B255" s="3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3"/>
      <c r="B256" s="3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3"/>
      <c r="B257" s="3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3"/>
      <c r="B258" s="3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3"/>
      <c r="B259" s="3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3"/>
      <c r="B260" s="3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3"/>
      <c r="B261" s="3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3"/>
      <c r="B262" s="3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3"/>
      <c r="B263" s="3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3"/>
      <c r="B264" s="3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3"/>
      <c r="B265" s="3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3"/>
      <c r="B266" s="3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3"/>
      <c r="B267" s="3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3"/>
      <c r="B268" s="3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3"/>
      <c r="B269" s="3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3"/>
      <c r="B270" s="3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3"/>
      <c r="B271" s="3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3"/>
      <c r="B272" s="3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3"/>
      <c r="B273" s="3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3"/>
      <c r="B274" s="3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3"/>
      <c r="B275" s="3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3"/>
      <c r="B276" s="3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3"/>
      <c r="B277" s="3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3"/>
      <c r="B278" s="3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3"/>
      <c r="B279" s="3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3"/>
      <c r="B280" s="3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3"/>
      <c r="B281" s="3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3"/>
      <c r="B282" s="3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3"/>
      <c r="B283" s="3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3"/>
      <c r="B284" s="3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3"/>
      <c r="B285" s="3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3"/>
      <c r="B286" s="3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3"/>
      <c r="B287" s="3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3"/>
      <c r="B288" s="3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3"/>
      <c r="B289" s="3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3"/>
      <c r="B290" s="3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3"/>
      <c r="B291" s="3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3"/>
      <c r="B292" s="3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3"/>
      <c r="B293" s="3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3"/>
      <c r="B294" s="3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3"/>
      <c r="B295" s="3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3"/>
      <c r="B296" s="3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3"/>
      <c r="B297" s="3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3"/>
      <c r="B298" s="3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3"/>
      <c r="B299" s="3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3"/>
      <c r="B300" s="3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3"/>
      <c r="B301" s="3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3"/>
      <c r="B302" s="3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3"/>
      <c r="B303" s="3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3"/>
      <c r="B304" s="3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3"/>
      <c r="B305" s="3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3"/>
      <c r="B306" s="3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3"/>
      <c r="B307" s="3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3"/>
      <c r="B308" s="3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3"/>
      <c r="B309" s="3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3"/>
      <c r="B310" s="3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3"/>
      <c r="B311" s="3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3"/>
      <c r="B312" s="3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3"/>
      <c r="B313" s="3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3"/>
      <c r="B314" s="3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3"/>
      <c r="B315" s="3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3"/>
      <c r="B316" s="3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3"/>
      <c r="B317" s="3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3"/>
      <c r="B318" s="3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3"/>
      <c r="B319" s="3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3"/>
      <c r="B320" s="3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3"/>
      <c r="B321" s="3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3"/>
      <c r="B322" s="3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3"/>
      <c r="B323" s="3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3"/>
      <c r="B324" s="3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3"/>
      <c r="B325" s="3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3"/>
      <c r="B326" s="3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3"/>
      <c r="B327" s="3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3"/>
      <c r="B328" s="3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3"/>
      <c r="B329" s="3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3"/>
      <c r="B330" s="3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3"/>
      <c r="B331" s="3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3"/>
      <c r="B332" s="3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3"/>
      <c r="B333" s="3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3"/>
      <c r="B334" s="3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3"/>
      <c r="B335" s="3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3"/>
      <c r="B336" s="3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3"/>
      <c r="B337" s="3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3"/>
      <c r="B338" s="3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3"/>
      <c r="B339" s="3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3"/>
      <c r="B340" s="3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3"/>
      <c r="B341" s="3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3"/>
      <c r="B342" s="3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3"/>
      <c r="B343" s="3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3"/>
      <c r="B344" s="3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3"/>
      <c r="B345" s="3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3"/>
      <c r="B346" s="3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3"/>
      <c r="B347" s="3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3"/>
      <c r="B348" s="3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3"/>
      <c r="B349" s="3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3"/>
      <c r="B350" s="3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3"/>
      <c r="B351" s="3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3"/>
      <c r="B352" s="3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3"/>
      <c r="B353" s="3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3"/>
      <c r="B354" s="3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3"/>
      <c r="B355" s="3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3"/>
      <c r="B356" s="3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3"/>
      <c r="B357" s="3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3"/>
      <c r="B358" s="3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3"/>
      <c r="B359" s="3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3"/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3"/>
      <c r="B361" s="3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3"/>
      <c r="B362" s="3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3"/>
      <c r="B363" s="3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3"/>
      <c r="B364" s="3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3"/>
      <c r="B365" s="3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3"/>
      <c r="B366" s="3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3"/>
      <c r="B367" s="3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3"/>
      <c r="B368" s="3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3"/>
      <c r="B369" s="3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3"/>
      <c r="B370" s="3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3"/>
      <c r="B371" s="3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3"/>
      <c r="B372" s="3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3"/>
      <c r="B373" s="3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3"/>
      <c r="B374" s="3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3"/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3"/>
      <c r="B376" s="3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3"/>
      <c r="B377" s="3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3"/>
      <c r="B378" s="3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3"/>
      <c r="B379" s="3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3"/>
      <c r="B380" s="3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3"/>
      <c r="B381" s="3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3"/>
      <c r="B382" s="3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3"/>
      <c r="B383" s="3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3"/>
      <c r="B384" s="3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3"/>
      <c r="B385" s="3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3"/>
      <c r="B386" s="3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3"/>
      <c r="B387" s="3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3"/>
      <c r="B388" s="3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3"/>
      <c r="B389" s="3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3"/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3"/>
      <c r="B391" s="3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3"/>
      <c r="B392" s="3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3"/>
      <c r="B393" s="3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3"/>
      <c r="B394" s="3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3"/>
      <c r="B395" s="3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3"/>
      <c r="B396" s="3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3"/>
      <c r="B397" s="3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3"/>
      <c r="B398" s="3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3"/>
      <c r="B399" s="3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3"/>
      <c r="B400" s="3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3"/>
      <c r="B401" s="3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3"/>
      <c r="B402" s="3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3"/>
      <c r="B403" s="3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3"/>
      <c r="B404" s="3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3"/>
      <c r="B405" s="3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3"/>
      <c r="B406" s="3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3"/>
      <c r="B407" s="3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3"/>
      <c r="B408" s="3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3"/>
      <c r="B409" s="3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3"/>
      <c r="B410" s="3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3"/>
      <c r="B411" s="3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3"/>
      <c r="B412" s="3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3"/>
      <c r="B413" s="3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3"/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3"/>
      <c r="B415" s="3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3"/>
      <c r="B416" s="3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3"/>
      <c r="B417" s="3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3"/>
      <c r="B418" s="3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3"/>
      <c r="B419" s="3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3"/>
      <c r="B420" s="3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3"/>
      <c r="B421" s="3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3"/>
      <c r="B422" s="3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3"/>
      <c r="B423" s="3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3"/>
      <c r="B424" s="3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3"/>
      <c r="B425" s="3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3"/>
      <c r="B426" s="3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3"/>
      <c r="B427" s="3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3"/>
      <c r="B428" s="3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3"/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3"/>
      <c r="B430" s="3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3"/>
      <c r="B431" s="3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3"/>
      <c r="B432" s="3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3"/>
      <c r="B433" s="3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3"/>
      <c r="B434" s="3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3"/>
      <c r="B435" s="3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3"/>
      <c r="B436" s="3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3"/>
      <c r="B437" s="3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3"/>
      <c r="B438" s="3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3"/>
      <c r="B439" s="3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3"/>
      <c r="B440" s="3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3"/>
      <c r="B441" s="3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3"/>
      <c r="B442" s="3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3"/>
      <c r="B443" s="3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3"/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3"/>
      <c r="B445" s="3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3"/>
      <c r="B446" s="3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3"/>
      <c r="B447" s="3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3"/>
      <c r="B448" s="3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3"/>
      <c r="B449" s="3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3"/>
      <c r="B450" s="3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3"/>
      <c r="B451" s="3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3"/>
      <c r="B452" s="3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3"/>
      <c r="B453" s="3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3"/>
      <c r="B454" s="3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3"/>
      <c r="B455" s="3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3"/>
      <c r="B456" s="3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3"/>
      <c r="B457" s="3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3"/>
      <c r="B458" s="3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3"/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3"/>
      <c r="B460" s="3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3"/>
      <c r="B461" s="3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3"/>
      <c r="B462" s="3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3"/>
      <c r="B463" s="3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3"/>
      <c r="B464" s="3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3"/>
      <c r="B465" s="3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3"/>
      <c r="B466" s="3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3"/>
      <c r="B467" s="3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3"/>
      <c r="B468" s="3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3"/>
      <c r="B469" s="3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3"/>
      <c r="B470" s="3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3"/>
      <c r="B471" s="3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3"/>
      <c r="B472" s="3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3"/>
      <c r="B473" s="3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3"/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3"/>
      <c r="B475" s="3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3"/>
      <c r="B476" s="3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3"/>
      <c r="B477" s="3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3"/>
      <c r="B478" s="3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3"/>
      <c r="B479" s="3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3"/>
      <c r="B480" s="3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3"/>
      <c r="B481" s="3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3"/>
      <c r="B482" s="3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3"/>
      <c r="B483" s="3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3"/>
      <c r="B484" s="3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3"/>
      <c r="B485" s="3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3"/>
      <c r="B486" s="3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3"/>
      <c r="B487" s="3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3"/>
      <c r="B488" s="3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3"/>
      <c r="B489" s="3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3"/>
      <c r="B490" s="3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3"/>
      <c r="B491" s="3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3"/>
      <c r="B492" s="3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3"/>
      <c r="B493" s="3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3"/>
      <c r="B494" s="3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3"/>
      <c r="B495" s="3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3"/>
      <c r="B496" s="3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3"/>
      <c r="B497" s="3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3"/>
      <c r="B498" s="3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3"/>
      <c r="B499" s="3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3"/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3"/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3"/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3"/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3"/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3"/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3"/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3"/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3"/>
      <c r="B508" s="3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3"/>
      <c r="B509" s="3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3"/>
      <c r="B510" s="3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3"/>
      <c r="B511" s="3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3"/>
      <c r="B512" s="3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3"/>
      <c r="B513" s="3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3"/>
      <c r="B514" s="3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3"/>
      <c r="B515" s="3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3"/>
      <c r="B516" s="3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3"/>
      <c r="B517" s="3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3"/>
      <c r="B518" s="3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3"/>
      <c r="B519" s="3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3"/>
      <c r="B520" s="3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3"/>
      <c r="B521" s="3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3"/>
      <c r="B522" s="3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3"/>
      <c r="B523" s="3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3"/>
      <c r="B524" s="3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3"/>
      <c r="B525" s="3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3"/>
      <c r="B526" s="3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3"/>
      <c r="B527" s="3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3"/>
      <c r="B528" s="3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3"/>
      <c r="B529" s="3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3"/>
      <c r="B530" s="3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3"/>
      <c r="B531" s="3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3"/>
      <c r="B532" s="3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3"/>
      <c r="B533" s="3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3"/>
      <c r="B534" s="3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3"/>
      <c r="B535" s="3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3"/>
      <c r="B536" s="3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3"/>
      <c r="B537" s="3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3"/>
      <c r="B538" s="3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3"/>
      <c r="B539" s="3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3"/>
      <c r="B540" s="3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3"/>
      <c r="B541" s="3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3"/>
      <c r="B542" s="3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3"/>
      <c r="B543" s="3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3"/>
      <c r="B544" s="3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3"/>
      <c r="B545" s="3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3"/>
      <c r="B546" s="3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3"/>
      <c r="B547" s="3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3"/>
      <c r="B548" s="3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3"/>
      <c r="B549" s="3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3"/>
      <c r="B550" s="3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3"/>
      <c r="B551" s="3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3"/>
      <c r="B552" s="3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3"/>
      <c r="B553" s="3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3"/>
      <c r="B554" s="3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3"/>
      <c r="B555" s="3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3"/>
      <c r="B556" s="3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3"/>
      <c r="B557" s="3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3"/>
      <c r="B558" s="3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3"/>
      <c r="B559" s="3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3"/>
      <c r="B560" s="3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3"/>
      <c r="B561" s="3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3"/>
      <c r="B562" s="3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3"/>
      <c r="B563" s="3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3"/>
      <c r="B564" s="3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3"/>
      <c r="B565" s="3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3"/>
      <c r="B566" s="3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3"/>
      <c r="B567" s="3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3"/>
      <c r="B568" s="3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3"/>
      <c r="B569" s="3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3"/>
      <c r="B570" s="3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3"/>
      <c r="B571" s="3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3"/>
      <c r="B572" s="3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3"/>
      <c r="B573" s="3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3"/>
      <c r="B574" s="3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3"/>
      <c r="B575" s="3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3"/>
      <c r="B576" s="3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3"/>
      <c r="B577" s="3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3"/>
      <c r="B578" s="3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3"/>
      <c r="B579" s="3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3"/>
      <c r="B580" s="3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3"/>
      <c r="B581" s="3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3"/>
      <c r="B582" s="3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3"/>
      <c r="B583" s="3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3"/>
      <c r="B584" s="3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3"/>
      <c r="B585" s="3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3"/>
      <c r="B586" s="3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3"/>
      <c r="B587" s="3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3"/>
      <c r="B588" s="3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3"/>
      <c r="B589" s="3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3"/>
      <c r="B590" s="3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3"/>
      <c r="B591" s="3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3"/>
      <c r="B592" s="3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3"/>
      <c r="B593" s="3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3"/>
      <c r="B594" s="3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3"/>
      <c r="B595" s="3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3"/>
      <c r="B596" s="3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3"/>
      <c r="B597" s="3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3"/>
      <c r="B598" s="3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3"/>
      <c r="B599" s="3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3"/>
      <c r="B600" s="3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3"/>
      <c r="B601" s="3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3"/>
      <c r="B602" s="3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3"/>
      <c r="B603" s="3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3"/>
      <c r="B604" s="3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3"/>
      <c r="B605" s="3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3"/>
      <c r="B606" s="3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3"/>
      <c r="B607" s="3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3"/>
      <c r="B608" s="3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3"/>
      <c r="B609" s="3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3"/>
      <c r="B610" s="3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3"/>
      <c r="B611" s="3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3"/>
      <c r="B612" s="3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3"/>
      <c r="B613" s="3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3"/>
      <c r="B614" s="3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3"/>
      <c r="B615" s="3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3"/>
      <c r="B616" s="3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3"/>
      <c r="B617" s="3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3"/>
      <c r="B618" s="3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3"/>
      <c r="B619" s="3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3"/>
      <c r="B620" s="3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3"/>
      <c r="B621" s="3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3"/>
      <c r="B622" s="3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3"/>
      <c r="B623" s="3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3"/>
      <c r="B624" s="3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3"/>
      <c r="B625" s="3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3"/>
      <c r="B626" s="3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3"/>
      <c r="B627" s="3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3"/>
      <c r="B628" s="3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3"/>
      <c r="B629" s="3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3"/>
      <c r="B630" s="3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3"/>
      <c r="B631" s="3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3"/>
      <c r="B632" s="3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3"/>
      <c r="B633" s="3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3"/>
      <c r="B634" s="3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3"/>
      <c r="B635" s="3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3"/>
      <c r="B636" s="3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3"/>
      <c r="B637" s="3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3"/>
      <c r="B638" s="3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3"/>
      <c r="B639" s="3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3"/>
      <c r="B640" s="3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3"/>
      <c r="B641" s="3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3"/>
      <c r="B642" s="3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3"/>
      <c r="B643" s="3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3"/>
      <c r="B644" s="3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3"/>
      <c r="B645" s="3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3"/>
      <c r="B646" s="3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3"/>
      <c r="B647" s="3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3"/>
      <c r="B648" s="3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3"/>
      <c r="B649" s="3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3"/>
      <c r="B650" s="3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3"/>
      <c r="B651" s="3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3"/>
      <c r="B652" s="3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3"/>
      <c r="B653" s="3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3"/>
      <c r="B654" s="3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3"/>
      <c r="B655" s="3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3"/>
      <c r="B656" s="3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3"/>
      <c r="B657" s="3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3"/>
      <c r="B658" s="3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3"/>
      <c r="B659" s="3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3"/>
      <c r="B660" s="3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3"/>
      <c r="B661" s="3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3"/>
      <c r="B662" s="3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3"/>
      <c r="B663" s="3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3"/>
      <c r="B664" s="3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3"/>
      <c r="B665" s="3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3"/>
      <c r="B666" s="3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3"/>
      <c r="B667" s="3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3"/>
      <c r="B668" s="3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3"/>
      <c r="B669" s="3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3"/>
      <c r="B670" s="3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3"/>
      <c r="B671" s="3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3"/>
      <c r="B672" s="3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3"/>
      <c r="B673" s="3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3"/>
      <c r="B674" s="3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3"/>
      <c r="B675" s="3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3"/>
      <c r="B676" s="3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3"/>
      <c r="B677" s="3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3"/>
      <c r="B678" s="3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3"/>
      <c r="B679" s="3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3"/>
      <c r="B680" s="3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3"/>
      <c r="B681" s="3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3"/>
      <c r="B682" s="3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3"/>
      <c r="B683" s="3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3"/>
      <c r="B684" s="3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3"/>
      <c r="B685" s="3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3"/>
      <c r="B686" s="3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3"/>
      <c r="B687" s="3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3"/>
      <c r="B688" s="3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3"/>
      <c r="B689" s="3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3"/>
      <c r="B690" s="3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3"/>
      <c r="B691" s="3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3"/>
      <c r="B692" s="3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3"/>
      <c r="B693" s="3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3"/>
      <c r="B694" s="3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3"/>
      <c r="B695" s="3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3"/>
      <c r="B696" s="3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3"/>
      <c r="B697" s="3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3"/>
      <c r="B698" s="3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3"/>
      <c r="B699" s="3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3"/>
      <c r="B700" s="3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3"/>
      <c r="B701" s="3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3"/>
      <c r="B702" s="3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3"/>
      <c r="B703" s="3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3"/>
      <c r="B704" s="3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3"/>
      <c r="B705" s="3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3"/>
      <c r="B706" s="3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3"/>
      <c r="B707" s="3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3"/>
      <c r="B708" s="3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3"/>
      <c r="B709" s="3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3"/>
      <c r="B710" s="3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3"/>
      <c r="B711" s="3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3"/>
      <c r="B712" s="3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3"/>
      <c r="B713" s="3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3"/>
      <c r="B714" s="3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3"/>
      <c r="B715" s="3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3"/>
      <c r="B716" s="3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3"/>
      <c r="B717" s="3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3"/>
      <c r="B718" s="3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3"/>
      <c r="B719" s="3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3"/>
      <c r="B720" s="3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3"/>
      <c r="B721" s="3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3"/>
      <c r="B722" s="3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3"/>
      <c r="B723" s="3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3"/>
      <c r="B724" s="3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3"/>
      <c r="B725" s="3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3"/>
      <c r="B726" s="3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3"/>
      <c r="B727" s="3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3"/>
      <c r="B728" s="3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3"/>
      <c r="B729" s="3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3"/>
      <c r="B730" s="3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3"/>
      <c r="B731" s="3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3"/>
      <c r="B732" s="3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3"/>
      <c r="B733" s="3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3"/>
      <c r="B734" s="3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3"/>
      <c r="B735" s="3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3"/>
      <c r="B736" s="3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3"/>
      <c r="B737" s="3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3"/>
      <c r="B738" s="3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3"/>
      <c r="B739" s="3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3"/>
      <c r="B740" s="3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3"/>
      <c r="B741" s="3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3"/>
      <c r="B742" s="3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3"/>
      <c r="B743" s="3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3"/>
      <c r="B744" s="3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3"/>
      <c r="B745" s="3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3"/>
      <c r="B746" s="3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3"/>
      <c r="B747" s="3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3"/>
      <c r="B748" s="3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3"/>
      <c r="B749" s="3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3"/>
      <c r="B750" s="3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3"/>
      <c r="B751" s="3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3"/>
      <c r="B752" s="3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3"/>
      <c r="B753" s="3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3"/>
      <c r="B754" s="3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3"/>
      <c r="B755" s="3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3"/>
      <c r="B756" s="3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3"/>
      <c r="B757" s="3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3"/>
      <c r="B758" s="3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3"/>
      <c r="B759" s="3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3"/>
      <c r="B760" s="3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3"/>
      <c r="B761" s="3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3"/>
      <c r="B762" s="3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3"/>
      <c r="B763" s="3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3"/>
      <c r="B764" s="3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3"/>
      <c r="B765" s="3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3"/>
      <c r="B766" s="3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3"/>
      <c r="B767" s="3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3"/>
      <c r="B768" s="3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3"/>
      <c r="B769" s="3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3"/>
      <c r="B770" s="3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3"/>
      <c r="B771" s="3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3"/>
      <c r="B772" s="3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3"/>
      <c r="B773" s="3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3"/>
      <c r="B774" s="3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3"/>
      <c r="B775" s="3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3"/>
      <c r="B776" s="3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3"/>
      <c r="B777" s="3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3"/>
      <c r="B778" s="3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3"/>
      <c r="B779" s="3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3"/>
      <c r="B780" s="3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3"/>
      <c r="B781" s="3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3"/>
      <c r="B782" s="3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3"/>
      <c r="B783" s="3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3"/>
      <c r="B784" s="3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3"/>
      <c r="B785" s="3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3"/>
      <c r="B786" s="3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3"/>
      <c r="B787" s="3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3"/>
      <c r="B788" s="3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3"/>
      <c r="B789" s="3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3"/>
      <c r="B790" s="3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3"/>
      <c r="B791" s="3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3"/>
      <c r="B792" s="3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3"/>
      <c r="B793" s="3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3"/>
      <c r="B794" s="3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3"/>
      <c r="B795" s="3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3"/>
      <c r="B796" s="3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3"/>
      <c r="B797" s="3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3"/>
      <c r="B798" s="3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3"/>
      <c r="B799" s="3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3"/>
      <c r="B800" s="3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3"/>
      <c r="B801" s="3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3"/>
      <c r="B802" s="3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3"/>
      <c r="B803" s="3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3"/>
      <c r="B804" s="3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3"/>
      <c r="B805" s="3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3"/>
      <c r="B806" s="3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3"/>
      <c r="B807" s="3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3"/>
      <c r="B808" s="3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3"/>
      <c r="B809" s="3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3"/>
      <c r="B810" s="3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3"/>
      <c r="B811" s="3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3"/>
      <c r="B812" s="3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3"/>
      <c r="B813" s="3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3"/>
      <c r="B814" s="3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3"/>
      <c r="B815" s="3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3"/>
      <c r="B816" s="3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3"/>
      <c r="B817" s="3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3"/>
      <c r="B818" s="3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3"/>
      <c r="B819" s="3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3"/>
      <c r="B820" s="3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3"/>
      <c r="B821" s="3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3"/>
      <c r="B822" s="3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3"/>
      <c r="B823" s="3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3"/>
      <c r="B824" s="3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3"/>
      <c r="B825" s="3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3"/>
      <c r="B826" s="3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3"/>
      <c r="B827" s="3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3"/>
      <c r="B828" s="3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3"/>
      <c r="B829" s="3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3"/>
      <c r="B830" s="3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3"/>
      <c r="B831" s="3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3"/>
      <c r="B832" s="3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3"/>
      <c r="B833" s="3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3"/>
      <c r="B834" s="3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3"/>
      <c r="B835" s="3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3"/>
      <c r="B836" s="3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3"/>
      <c r="B837" s="3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3"/>
      <c r="B838" s="3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3"/>
      <c r="B839" s="3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3"/>
      <c r="B840" s="3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3"/>
      <c r="B841" s="3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3"/>
      <c r="B842" s="3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3"/>
      <c r="B843" s="3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3"/>
      <c r="B844" s="3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3"/>
      <c r="B845" s="3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3"/>
      <c r="B846" s="3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3"/>
      <c r="B847" s="3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3"/>
      <c r="B848" s="3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3"/>
      <c r="B849" s="3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3"/>
      <c r="B850" s="3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3"/>
      <c r="B851" s="3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3"/>
      <c r="B852" s="3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3"/>
      <c r="B853" s="3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3"/>
      <c r="B854" s="3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3"/>
      <c r="B855" s="3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3"/>
      <c r="B856" s="3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3"/>
      <c r="B857" s="3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3"/>
      <c r="B858" s="3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3"/>
      <c r="B859" s="3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3"/>
      <c r="B860" s="3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3"/>
      <c r="B861" s="3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3"/>
      <c r="B862" s="3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3"/>
      <c r="B863" s="3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3"/>
      <c r="B864" s="3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3"/>
      <c r="B865" s="3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3"/>
      <c r="B866" s="3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3"/>
      <c r="B867" s="3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3"/>
      <c r="B868" s="3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3"/>
      <c r="B869" s="3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3"/>
      <c r="B870" s="3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3"/>
      <c r="B871" s="3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3"/>
      <c r="B872" s="3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3"/>
      <c r="B873" s="3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3"/>
      <c r="B874" s="3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3"/>
      <c r="B875" s="3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3"/>
      <c r="B876" s="3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3"/>
      <c r="B877" s="3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3"/>
      <c r="B878" s="3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3"/>
      <c r="B879" s="3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3"/>
      <c r="B880" s="3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3"/>
      <c r="B881" s="3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3"/>
      <c r="B882" s="3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3"/>
      <c r="B883" s="3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3"/>
      <c r="B884" s="3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3"/>
      <c r="B885" s="3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3"/>
      <c r="B886" s="3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3"/>
      <c r="B887" s="3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3"/>
      <c r="B888" s="3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3"/>
      <c r="B889" s="3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3"/>
      <c r="B890" s="3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3"/>
      <c r="B891" s="3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3"/>
      <c r="B892" s="3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3"/>
      <c r="B893" s="3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3"/>
      <c r="B894" s="3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3"/>
      <c r="B895" s="3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3"/>
      <c r="B896" s="3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3"/>
      <c r="B897" s="3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3"/>
      <c r="B898" s="3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3"/>
      <c r="B899" s="3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3"/>
      <c r="B900" s="3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3"/>
      <c r="B901" s="3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3"/>
      <c r="B902" s="3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3"/>
      <c r="B903" s="3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3"/>
      <c r="B904" s="3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3"/>
      <c r="B905" s="3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3"/>
      <c r="B906" s="3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3"/>
      <c r="B907" s="3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3"/>
      <c r="B908" s="3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3"/>
      <c r="B909" s="3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3"/>
      <c r="B910" s="3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3"/>
      <c r="B911" s="3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3"/>
      <c r="B912" s="3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3"/>
      <c r="B913" s="3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3"/>
      <c r="B914" s="3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3"/>
      <c r="B915" s="3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3"/>
      <c r="B916" s="3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3"/>
      <c r="B917" s="3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3"/>
      <c r="B918" s="3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3"/>
      <c r="B919" s="3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3"/>
      <c r="B920" s="3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3"/>
      <c r="B921" s="3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3"/>
      <c r="B922" s="3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3"/>
      <c r="B923" s="3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3"/>
      <c r="B924" s="3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3"/>
      <c r="B925" s="3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3"/>
      <c r="B926" s="3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3"/>
      <c r="B927" s="3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3"/>
      <c r="B928" s="3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3"/>
      <c r="B929" s="3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3"/>
      <c r="B930" s="3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3"/>
      <c r="B931" s="3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3"/>
      <c r="B932" s="3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3"/>
      <c r="B933" s="3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3"/>
      <c r="B934" s="3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3"/>
      <c r="B935" s="3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3"/>
      <c r="B936" s="3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3"/>
      <c r="B937" s="3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3"/>
      <c r="B938" s="3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3"/>
      <c r="B939" s="3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3"/>
      <c r="B940" s="3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3"/>
      <c r="B941" s="3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3"/>
      <c r="B942" s="3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3"/>
      <c r="B943" s="3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3"/>
      <c r="B944" s="3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3"/>
      <c r="B945" s="3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3"/>
      <c r="B946" s="3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3"/>
      <c r="B947" s="3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3"/>
      <c r="B948" s="3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3"/>
      <c r="B949" s="3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3"/>
      <c r="B950" s="3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3"/>
      <c r="B951" s="3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3"/>
      <c r="B952" s="3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3"/>
      <c r="B953" s="3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3"/>
      <c r="B954" s="3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3"/>
      <c r="B955" s="3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3"/>
      <c r="B956" s="3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3"/>
      <c r="B957" s="3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3"/>
      <c r="B958" s="3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3"/>
      <c r="B959" s="3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3"/>
      <c r="B960" s="3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3"/>
      <c r="B961" s="3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3"/>
      <c r="B962" s="3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3"/>
      <c r="B963" s="3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3"/>
      <c r="B964" s="3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3"/>
      <c r="B965" s="3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3"/>
      <c r="B966" s="3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3"/>
      <c r="B967" s="3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3"/>
      <c r="B968" s="3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3"/>
      <c r="B969" s="3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3"/>
      <c r="B970" s="3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3"/>
      <c r="B971" s="3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3"/>
      <c r="B972" s="3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3"/>
      <c r="B973" s="3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3"/>
      <c r="B974" s="3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3"/>
      <c r="B975" s="3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3"/>
      <c r="B976" s="3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3"/>
      <c r="B977" s="3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3"/>
      <c r="B978" s="3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3"/>
      <c r="B979" s="3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3"/>
      <c r="B980" s="3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3"/>
      <c r="B981" s="3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3"/>
      <c r="B982" s="3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3"/>
      <c r="B983" s="3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3"/>
      <c r="B984" s="3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3"/>
      <c r="B985" s="3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3"/>
      <c r="B986" s="3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3"/>
      <c r="B987" s="3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3"/>
      <c r="B988" s="3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3"/>
      <c r="B989" s="3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3"/>
      <c r="B990" s="3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3"/>
      <c r="B991" s="3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3"/>
      <c r="B992" s="3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3"/>
      <c r="B993" s="3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3"/>
      <c r="B994" s="3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3"/>
      <c r="B995" s="3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3"/>
      <c r="B996" s="3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3"/>
      <c r="B997" s="3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3"/>
      <c r="B998" s="3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3"/>
      <c r="B999" s="3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3"/>
      <c r="B1000" s="3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P1"/>
  </mergeCells>
  <printOptions horizontalCentered="1"/>
  <pageMargins bottom="0.05" footer="0.0" header="0.0" left="0.01" right="0.01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06" t="s">
        <v>25</v>
      </c>
      <c r="B1" s="106" t="s">
        <v>2</v>
      </c>
      <c r="C1" s="106" t="s">
        <v>26</v>
      </c>
      <c r="D1" s="106" t="s">
        <v>27</v>
      </c>
      <c r="E1" s="106" t="s">
        <v>6</v>
      </c>
      <c r="F1" s="106" t="s">
        <v>28</v>
      </c>
      <c r="G1" s="106" t="s">
        <v>29</v>
      </c>
      <c r="H1" s="106" t="s">
        <v>30</v>
      </c>
      <c r="I1" s="106" t="s">
        <v>31</v>
      </c>
      <c r="J1" s="107" t="s">
        <v>27</v>
      </c>
      <c r="K1" s="107" t="s">
        <v>29</v>
      </c>
    </row>
    <row r="2" ht="14.25" customHeight="1">
      <c r="A2" s="108">
        <v>19.0</v>
      </c>
      <c r="B2" s="108">
        <v>2.0</v>
      </c>
      <c r="C2" s="109" t="s">
        <v>32</v>
      </c>
      <c r="D2" s="110">
        <v>0.23958333333333334</v>
      </c>
      <c r="E2" s="110">
        <v>0.29583333333333334</v>
      </c>
      <c r="F2" s="110">
        <v>0.5187499999999999</v>
      </c>
      <c r="G2" s="111">
        <v>0.6381944444444444</v>
      </c>
      <c r="H2" s="110">
        <v>0.7409722222222223</v>
      </c>
      <c r="I2" s="110">
        <v>0.7972222222222222</v>
      </c>
      <c r="J2" s="112">
        <v>0.22777777777777777</v>
      </c>
      <c r="K2" s="112">
        <v>0.6680555555555556</v>
      </c>
    </row>
    <row r="3" ht="14.25" customHeight="1">
      <c r="A3" s="113">
        <v>20.0</v>
      </c>
      <c r="B3" s="113">
        <v>3.0</v>
      </c>
      <c r="C3" s="114" t="s">
        <v>33</v>
      </c>
      <c r="D3" s="115">
        <v>0.23819444444444446</v>
      </c>
      <c r="E3" s="115">
        <v>0.29444444444444445</v>
      </c>
      <c r="F3" s="115">
        <v>0.5180555555555556</v>
      </c>
      <c r="G3" s="116">
        <v>0.638888888888889</v>
      </c>
      <c r="H3" s="115">
        <v>0.7416666666666667</v>
      </c>
      <c r="I3" s="115">
        <v>0.7979166666666666</v>
      </c>
      <c r="J3" s="112">
        <v>0.22708333333333333</v>
      </c>
      <c r="K3" s="112">
        <v>0.6694444444444444</v>
      </c>
    </row>
    <row r="4" ht="14.25" customHeight="1">
      <c r="A4" s="113">
        <v>21.0</v>
      </c>
      <c r="B4" s="113">
        <v>4.0</v>
      </c>
      <c r="C4" s="114" t="s">
        <v>34</v>
      </c>
      <c r="D4" s="115">
        <v>0.23750000000000002</v>
      </c>
      <c r="E4" s="115">
        <v>0.29375</v>
      </c>
      <c r="F4" s="115">
        <v>0.5180555555555556</v>
      </c>
      <c r="G4" s="116">
        <v>0.6395833333333333</v>
      </c>
      <c r="H4" s="115">
        <v>0.7430555555555555</v>
      </c>
      <c r="I4" s="115">
        <v>0.7993055555555556</v>
      </c>
      <c r="J4" s="112">
        <v>0.22569444444444445</v>
      </c>
      <c r="K4" s="112">
        <v>0.6701388888888888</v>
      </c>
    </row>
    <row r="5" ht="14.25" customHeight="1">
      <c r="A5" s="108">
        <v>22.0</v>
      </c>
      <c r="B5" s="108">
        <v>5.0</v>
      </c>
      <c r="C5" s="117" t="s">
        <v>35</v>
      </c>
      <c r="D5" s="110">
        <v>0.23611111111111113</v>
      </c>
      <c r="E5" s="110">
        <v>0.2923611111111111</v>
      </c>
      <c r="F5" s="110">
        <v>0.5180555555555556</v>
      </c>
      <c r="G5" s="111">
        <v>0.6402777777777778</v>
      </c>
      <c r="H5" s="110">
        <v>0.74375</v>
      </c>
      <c r="I5" s="110">
        <v>0.7999999999999999</v>
      </c>
      <c r="J5" s="112">
        <v>0.22430555555555556</v>
      </c>
      <c r="K5" s="112">
        <v>0.6708333333333334</v>
      </c>
    </row>
    <row r="6" ht="14.25" customHeight="1">
      <c r="A6" s="113">
        <v>23.0</v>
      </c>
      <c r="B6" s="113">
        <v>6.0</v>
      </c>
      <c r="C6" s="114" t="s">
        <v>36</v>
      </c>
      <c r="D6" s="115">
        <v>0.2354166666666667</v>
      </c>
      <c r="E6" s="115">
        <v>0.29097222222222224</v>
      </c>
      <c r="F6" s="115">
        <v>0.5180555555555556</v>
      </c>
      <c r="G6" s="116">
        <v>0.6409722222222222</v>
      </c>
      <c r="H6" s="115">
        <v>0.7451388888888889</v>
      </c>
      <c r="I6" s="115">
        <v>0.8006944444444444</v>
      </c>
      <c r="J6" s="112">
        <v>0.2236111111111111</v>
      </c>
      <c r="K6" s="112">
        <v>0.6715277777777778</v>
      </c>
    </row>
    <row r="7" ht="14.25" customHeight="1">
      <c r="A7" s="108">
        <v>24.0</v>
      </c>
      <c r="B7" s="108">
        <v>7.0</v>
      </c>
      <c r="C7" s="117" t="s">
        <v>37</v>
      </c>
      <c r="D7" s="110">
        <v>0.2340277777777778</v>
      </c>
      <c r="E7" s="110">
        <v>0.2902777777777778</v>
      </c>
      <c r="F7" s="110">
        <v>0.5180555555555556</v>
      </c>
      <c r="G7" s="111">
        <v>0.6416666666666667</v>
      </c>
      <c r="H7" s="110">
        <v>0.7458333333333332</v>
      </c>
      <c r="I7" s="110">
        <v>0.8020833333333334</v>
      </c>
      <c r="J7" s="112">
        <v>0.2222222222222222</v>
      </c>
      <c r="K7" s="112">
        <v>0.6729166666666666</v>
      </c>
    </row>
    <row r="8" ht="14.25" customHeight="1">
      <c r="A8" s="113">
        <v>25.0</v>
      </c>
      <c r="B8" s="113">
        <v>8.0</v>
      </c>
      <c r="C8" s="114" t="s">
        <v>38</v>
      </c>
      <c r="D8" s="115">
        <v>0.2333333333333333</v>
      </c>
      <c r="E8" s="115">
        <v>0.2888888888888889</v>
      </c>
      <c r="F8" s="115">
        <v>0.5180555555555556</v>
      </c>
      <c r="G8" s="116">
        <v>0.642361111111111</v>
      </c>
      <c r="H8" s="115">
        <v>0.7465277777777778</v>
      </c>
      <c r="I8" s="115">
        <v>0.8027777777777777</v>
      </c>
      <c r="J8" s="112">
        <v>0.22152777777777777</v>
      </c>
      <c r="K8" s="112">
        <v>0.6736111111111112</v>
      </c>
    </row>
    <row r="9" ht="14.25" customHeight="1">
      <c r="A9" s="108">
        <v>26.0</v>
      </c>
      <c r="B9" s="108">
        <v>9.0</v>
      </c>
      <c r="C9" s="117" t="s">
        <v>32</v>
      </c>
      <c r="D9" s="110">
        <v>0.23194444444444443</v>
      </c>
      <c r="E9" s="110">
        <v>0.28750000000000003</v>
      </c>
      <c r="F9" s="110">
        <v>0.5180555555555556</v>
      </c>
      <c r="G9" s="111">
        <v>0.6430555555555556</v>
      </c>
      <c r="H9" s="110">
        <v>0.7479166666666667</v>
      </c>
      <c r="I9" s="110">
        <v>0.8034722222222223</v>
      </c>
      <c r="J9" s="112">
        <v>0.22013888888888888</v>
      </c>
      <c r="K9" s="112">
        <v>0.6743055555555556</v>
      </c>
    </row>
    <row r="10" ht="14.25" customHeight="1">
      <c r="A10" s="113">
        <v>27.0</v>
      </c>
      <c r="B10" s="113">
        <v>10.0</v>
      </c>
      <c r="C10" s="114" t="s">
        <v>33</v>
      </c>
      <c r="D10" s="115">
        <v>0.23055555555555554</v>
      </c>
      <c r="E10" s="115">
        <v>0.28680555555555554</v>
      </c>
      <c r="F10" s="115">
        <v>0.517361111111111</v>
      </c>
      <c r="G10" s="116">
        <v>0.6437499999999999</v>
      </c>
      <c r="H10" s="115">
        <v>0.748611111111111</v>
      </c>
      <c r="I10" s="115">
        <v>0.8041666666666667</v>
      </c>
      <c r="J10" s="112">
        <v>0.21875</v>
      </c>
      <c r="K10" s="112">
        <v>0.6749999999999999</v>
      </c>
    </row>
    <row r="11" ht="14.25" customHeight="1">
      <c r="A11" s="108">
        <v>28.0</v>
      </c>
      <c r="B11" s="108">
        <v>11.0</v>
      </c>
      <c r="C11" s="117" t="s">
        <v>34</v>
      </c>
      <c r="D11" s="110">
        <v>0.2298611111111111</v>
      </c>
      <c r="E11" s="110">
        <v>0.28541666666666665</v>
      </c>
      <c r="F11" s="110">
        <v>0.517361111111111</v>
      </c>
      <c r="G11" s="111">
        <v>0.6444444444444445</v>
      </c>
      <c r="H11" s="110">
        <v>0.7493055555555556</v>
      </c>
      <c r="I11" s="110">
        <v>0.8055555555555555</v>
      </c>
      <c r="J11" s="112">
        <v>0.21805555555555556</v>
      </c>
      <c r="K11" s="112">
        <v>0.6756944444444444</v>
      </c>
    </row>
    <row r="12" ht="14.25" customHeight="1">
      <c r="A12" s="108">
        <v>1.0</v>
      </c>
      <c r="B12" s="108">
        <v>12.0</v>
      </c>
      <c r="C12" s="109" t="s">
        <v>35</v>
      </c>
      <c r="D12" s="110">
        <v>0.22847222222222222</v>
      </c>
      <c r="E12" s="110">
        <v>0.28402777777777777</v>
      </c>
      <c r="F12" s="110">
        <v>0.517361111111111</v>
      </c>
      <c r="G12" s="111">
        <v>0.6451388888888888</v>
      </c>
      <c r="H12" s="110">
        <v>0.7506944444444444</v>
      </c>
      <c r="I12" s="110">
        <v>0.80625</v>
      </c>
      <c r="J12" s="112">
        <v>0.21666666666666667</v>
      </c>
      <c r="K12" s="112">
        <v>0.6770833333333334</v>
      </c>
    </row>
    <row r="13" ht="14.25" customHeight="1">
      <c r="A13" s="113">
        <v>2.0</v>
      </c>
      <c r="B13" s="113">
        <v>13.0</v>
      </c>
      <c r="C13" s="118" t="s">
        <v>36</v>
      </c>
      <c r="D13" s="115">
        <v>0.22708333333333333</v>
      </c>
      <c r="E13" s="115">
        <v>0.2826388888888889</v>
      </c>
      <c r="F13" s="115">
        <v>0.517361111111111</v>
      </c>
      <c r="G13" s="116">
        <v>0.6458333333333334</v>
      </c>
      <c r="H13" s="115">
        <v>0.751388888888889</v>
      </c>
      <c r="I13" s="115">
        <v>0.8069444444444445</v>
      </c>
      <c r="J13" s="112">
        <v>0.2152777777777778</v>
      </c>
      <c r="K13" s="112">
        <v>0.6777777777777777</v>
      </c>
    </row>
    <row r="14" ht="14.25" customHeight="1">
      <c r="A14" s="108">
        <v>3.0</v>
      </c>
      <c r="B14" s="108">
        <v>14.0</v>
      </c>
      <c r="C14" s="109" t="s">
        <v>37</v>
      </c>
      <c r="D14" s="110">
        <v>0.22569444444444445</v>
      </c>
      <c r="E14" s="110">
        <v>0.28194444444444444</v>
      </c>
      <c r="F14" s="110">
        <v>0.517361111111111</v>
      </c>
      <c r="G14" s="111">
        <v>0.6465277777777778</v>
      </c>
      <c r="H14" s="110">
        <v>0.7520833333333333</v>
      </c>
      <c r="I14" s="110">
        <v>0.8083333333333332</v>
      </c>
      <c r="J14" s="112">
        <v>0.2138888888888889</v>
      </c>
      <c r="K14" s="112">
        <v>0.6784722222222223</v>
      </c>
    </row>
    <row r="15" ht="14.25" customHeight="1">
      <c r="A15" s="113">
        <v>4.0</v>
      </c>
      <c r="B15" s="113">
        <v>15.0</v>
      </c>
      <c r="C15" s="118" t="s">
        <v>38</v>
      </c>
      <c r="D15" s="115">
        <v>0.225</v>
      </c>
      <c r="E15" s="115">
        <v>0.28055555555555556</v>
      </c>
      <c r="F15" s="115">
        <v>0.5166666666666667</v>
      </c>
      <c r="G15" s="116">
        <v>0.6465277777777778</v>
      </c>
      <c r="H15" s="115">
        <v>0.7534722222222222</v>
      </c>
      <c r="I15" s="115">
        <v>0.8090277777777778</v>
      </c>
      <c r="J15" s="112">
        <v>0.21319444444444444</v>
      </c>
      <c r="K15" s="112">
        <v>0.6791666666666667</v>
      </c>
    </row>
    <row r="16" ht="14.25" customHeight="1">
      <c r="A16" s="108">
        <v>5.0</v>
      </c>
      <c r="B16" s="108">
        <v>16.0</v>
      </c>
      <c r="C16" s="109" t="s">
        <v>32</v>
      </c>
      <c r="D16" s="110">
        <v>0.2236111111111111</v>
      </c>
      <c r="E16" s="110">
        <v>0.2791666666666667</v>
      </c>
      <c r="F16" s="110">
        <v>0.5166666666666667</v>
      </c>
      <c r="G16" s="111">
        <v>0.6472222222222223</v>
      </c>
      <c r="H16" s="110">
        <v>0.7541666666666668</v>
      </c>
      <c r="I16" s="110">
        <v>0.8097222222222222</v>
      </c>
      <c r="J16" s="112">
        <v>0.21180555555555555</v>
      </c>
      <c r="K16" s="112">
        <v>0.6798611111111111</v>
      </c>
    </row>
    <row r="17" ht="14.25" customHeight="1">
      <c r="A17" s="108">
        <v>6.0</v>
      </c>
      <c r="B17" s="108">
        <v>17.0</v>
      </c>
      <c r="C17" s="109" t="s">
        <v>33</v>
      </c>
      <c r="D17" s="110">
        <v>0.2222222222222222</v>
      </c>
      <c r="E17" s="110">
        <v>0.2777777777777778</v>
      </c>
      <c r="F17" s="110">
        <v>0.5166666666666667</v>
      </c>
      <c r="G17" s="111">
        <v>0.6479166666666667</v>
      </c>
      <c r="H17" s="110">
        <v>0.7548611111111111</v>
      </c>
      <c r="I17" s="110">
        <v>0.811111111111111</v>
      </c>
      <c r="J17" s="112">
        <v>0.21041666666666667</v>
      </c>
      <c r="K17" s="112">
        <v>0.6805555555555555</v>
      </c>
    </row>
    <row r="18" ht="14.25" customHeight="1">
      <c r="A18" s="113">
        <v>7.0</v>
      </c>
      <c r="B18" s="113">
        <v>18.0</v>
      </c>
      <c r="C18" s="118" t="s">
        <v>34</v>
      </c>
      <c r="D18" s="115">
        <v>0.22083333333333333</v>
      </c>
      <c r="E18" s="115">
        <v>0.27708333333333335</v>
      </c>
      <c r="F18" s="115">
        <v>0.5166666666666667</v>
      </c>
      <c r="G18" s="116">
        <v>0.6486111111111111</v>
      </c>
      <c r="H18" s="115">
        <v>0.75625</v>
      </c>
      <c r="I18" s="115">
        <v>0.8118055555555556</v>
      </c>
      <c r="J18" s="112">
        <v>0.20902777777777778</v>
      </c>
      <c r="K18" s="112">
        <v>0.68125</v>
      </c>
    </row>
    <row r="19" ht="14.25" customHeight="1">
      <c r="A19" s="108">
        <v>8.0</v>
      </c>
      <c r="B19" s="108">
        <v>19.0</v>
      </c>
      <c r="C19" s="109" t="s">
        <v>35</v>
      </c>
      <c r="D19" s="110">
        <v>0.26180555555555557</v>
      </c>
      <c r="E19" s="110">
        <v>0.31736111111111115</v>
      </c>
      <c r="F19" s="110">
        <v>0.5576388888888889</v>
      </c>
      <c r="G19" s="111">
        <v>0.6909722222222222</v>
      </c>
      <c r="H19" s="110">
        <v>0.7986111111111112</v>
      </c>
      <c r="I19" s="110">
        <v>0.8541666666666666</v>
      </c>
      <c r="J19" s="112">
        <v>0.24930555555555556</v>
      </c>
      <c r="K19" s="112">
        <v>0.7236111111111111</v>
      </c>
    </row>
    <row r="20" ht="14.25" customHeight="1">
      <c r="A20" s="113">
        <v>9.0</v>
      </c>
      <c r="B20" s="113">
        <v>20.0</v>
      </c>
      <c r="C20" s="118" t="s">
        <v>36</v>
      </c>
      <c r="D20" s="115">
        <v>0.2604166666666667</v>
      </c>
      <c r="E20" s="115">
        <v>0.3159722222222222</v>
      </c>
      <c r="F20" s="115">
        <v>0.5576388888888889</v>
      </c>
      <c r="G20" s="116">
        <v>0.6916666666666668</v>
      </c>
      <c r="H20" s="115">
        <v>0.7993055555555556</v>
      </c>
      <c r="I20" s="115">
        <v>0.8555555555555556</v>
      </c>
      <c r="J20" s="112">
        <v>0.24861111111111112</v>
      </c>
      <c r="K20" s="112">
        <v>0.7243055555555555</v>
      </c>
    </row>
    <row r="21" ht="14.25" customHeight="1">
      <c r="A21" s="108">
        <v>10.0</v>
      </c>
      <c r="B21" s="108">
        <v>21.0</v>
      </c>
      <c r="C21" s="109" t="s">
        <v>37</v>
      </c>
      <c r="D21" s="110">
        <v>0.2590277777777778</v>
      </c>
      <c r="E21" s="110">
        <v>0.3145833333333333</v>
      </c>
      <c r="F21" s="110">
        <v>0.5576388888888889</v>
      </c>
      <c r="G21" s="111">
        <v>0.6916666666666668</v>
      </c>
      <c r="H21" s="110">
        <v>0.8006944444444444</v>
      </c>
      <c r="I21" s="110">
        <v>0.8562500000000001</v>
      </c>
      <c r="J21" s="112">
        <v>0.24722222222222223</v>
      </c>
      <c r="K21" s="112">
        <v>0.7256944444444445</v>
      </c>
    </row>
    <row r="22" ht="14.25" customHeight="1">
      <c r="A22" s="119">
        <v>11.0</v>
      </c>
      <c r="B22" s="119">
        <v>22.0</v>
      </c>
      <c r="C22" s="119" t="s">
        <v>38</v>
      </c>
      <c r="D22" s="120">
        <v>0.2576388888888889</v>
      </c>
      <c r="E22" s="120">
        <v>0.31319444444444444</v>
      </c>
      <c r="F22" s="120">
        <v>0.5576388888888889</v>
      </c>
      <c r="G22" s="120">
        <v>0.6923611111111111</v>
      </c>
      <c r="H22" s="120">
        <v>0.8013888888888889</v>
      </c>
      <c r="I22" s="120">
        <v>0.8569444444444444</v>
      </c>
      <c r="J22" s="112">
        <v>0.24583333333333335</v>
      </c>
      <c r="K22" s="112">
        <v>0.7263888888888889</v>
      </c>
    </row>
    <row r="23" ht="14.25" customHeight="1">
      <c r="A23" s="107">
        <v>12.0</v>
      </c>
      <c r="B23" s="107">
        <v>23.0</v>
      </c>
      <c r="C23" s="107" t="s">
        <v>32</v>
      </c>
      <c r="D23" s="112">
        <v>0.25625000000000003</v>
      </c>
      <c r="E23" s="112">
        <v>0.31180555555555556</v>
      </c>
      <c r="F23" s="112">
        <v>0.5569444444444445</v>
      </c>
      <c r="G23" s="112">
        <v>0.6930555555555555</v>
      </c>
      <c r="H23" s="112">
        <v>0.8020833333333334</v>
      </c>
      <c r="I23" s="112">
        <v>0.8583333333333334</v>
      </c>
      <c r="J23" s="112">
        <v>0.24444444444444446</v>
      </c>
      <c r="K23" s="112">
        <v>0.7270833333333333</v>
      </c>
    </row>
    <row r="24" ht="14.25" customHeight="1">
      <c r="A24" s="107">
        <v>13.0</v>
      </c>
      <c r="B24" s="107">
        <v>24.0</v>
      </c>
      <c r="C24" s="107" t="s">
        <v>33</v>
      </c>
      <c r="D24" s="112">
        <v>0.2548611111111111</v>
      </c>
      <c r="E24" s="112">
        <v>0.3111111111111111</v>
      </c>
      <c r="F24" s="112">
        <v>0.5569444444444445</v>
      </c>
      <c r="G24" s="112">
        <v>0.69375</v>
      </c>
      <c r="H24" s="112">
        <v>0.8027777777777777</v>
      </c>
      <c r="I24" s="112">
        <v>0.8590277777777778</v>
      </c>
      <c r="J24" s="112">
        <v>0.24305555555555555</v>
      </c>
      <c r="K24" s="112">
        <v>0.7277777777777777</v>
      </c>
    </row>
    <row r="25" ht="14.25" customHeight="1">
      <c r="A25" s="107">
        <v>14.0</v>
      </c>
      <c r="B25" s="107">
        <v>25.0</v>
      </c>
      <c r="C25" s="107" t="s">
        <v>34</v>
      </c>
      <c r="D25" s="112">
        <v>0.2534722222222222</v>
      </c>
      <c r="E25" s="112">
        <v>0.30972222222222223</v>
      </c>
      <c r="F25" s="112">
        <v>0.5569444444444445</v>
      </c>
      <c r="G25" s="112">
        <v>0.6944444444444445</v>
      </c>
      <c r="H25" s="112">
        <v>0.8041666666666667</v>
      </c>
      <c r="I25" s="112">
        <v>0.8597222222222222</v>
      </c>
      <c r="J25" s="112">
        <v>0.24166666666666667</v>
      </c>
      <c r="K25" s="112">
        <v>0.7284722222222223</v>
      </c>
    </row>
    <row r="26" ht="14.25" customHeight="1">
      <c r="A26" s="107">
        <v>15.0</v>
      </c>
      <c r="B26" s="107">
        <v>26.0</v>
      </c>
      <c r="C26" s="107" t="s">
        <v>35</v>
      </c>
      <c r="D26" s="112">
        <v>0.2520833333333333</v>
      </c>
      <c r="E26" s="112">
        <v>0.30833333333333335</v>
      </c>
      <c r="F26" s="112">
        <v>0.5569444444444445</v>
      </c>
      <c r="G26" s="112">
        <v>0.6944444444444445</v>
      </c>
      <c r="H26" s="112">
        <v>0.8048611111111111</v>
      </c>
      <c r="I26" s="112">
        <v>0.8611111111111112</v>
      </c>
      <c r="J26" s="112">
        <v>0.24027777777777778</v>
      </c>
      <c r="K26" s="112">
        <v>0.7291666666666666</v>
      </c>
    </row>
    <row r="27" ht="14.25" customHeight="1">
      <c r="A27" s="107">
        <v>16.0</v>
      </c>
      <c r="B27" s="107">
        <v>27.0</v>
      </c>
      <c r="C27" s="107" t="s">
        <v>36</v>
      </c>
      <c r="D27" s="112">
        <v>0.2513888888888889</v>
      </c>
      <c r="E27" s="112">
        <v>0.3069444444444444</v>
      </c>
      <c r="F27" s="112">
        <v>0.55625</v>
      </c>
      <c r="G27" s="112">
        <v>0.6951388888888889</v>
      </c>
      <c r="H27" s="112">
        <v>0.8055555555555555</v>
      </c>
      <c r="I27" s="112">
        <v>0.8618055555555556</v>
      </c>
      <c r="J27" s="112">
        <v>0.2388888888888889</v>
      </c>
      <c r="K27" s="112">
        <v>0.7298611111111111</v>
      </c>
    </row>
    <row r="28" ht="14.25" customHeight="1">
      <c r="A28" s="107">
        <v>17.0</v>
      </c>
      <c r="B28" s="107">
        <v>28.0</v>
      </c>
      <c r="C28" s="107" t="s">
        <v>37</v>
      </c>
      <c r="D28" s="112">
        <v>0.25</v>
      </c>
      <c r="E28" s="112">
        <v>0.3055555555555555</v>
      </c>
      <c r="F28" s="112">
        <v>0.55625</v>
      </c>
      <c r="G28" s="112">
        <v>0.6958333333333333</v>
      </c>
      <c r="H28" s="112">
        <v>0.8069444444444445</v>
      </c>
      <c r="I28" s="112">
        <v>0.8624999999999999</v>
      </c>
      <c r="J28" s="112">
        <v>0.23750000000000002</v>
      </c>
      <c r="K28" s="112">
        <v>0.7305555555555556</v>
      </c>
    </row>
    <row r="29" ht="14.25" customHeight="1">
      <c r="A29" s="107">
        <v>18.0</v>
      </c>
      <c r="B29" s="107">
        <v>29.0</v>
      </c>
      <c r="C29" s="107" t="s">
        <v>38</v>
      </c>
      <c r="D29" s="112">
        <v>0.24861111111111112</v>
      </c>
      <c r="E29" s="112">
        <v>0.30416666666666664</v>
      </c>
      <c r="F29" s="112">
        <v>0.55625</v>
      </c>
      <c r="G29" s="112">
        <v>0.6965277777777777</v>
      </c>
      <c r="H29" s="112">
        <v>0.8076388888888889</v>
      </c>
      <c r="I29" s="112">
        <v>0.8638888888888889</v>
      </c>
      <c r="J29" s="112">
        <v>0.23611111111111113</v>
      </c>
      <c r="K29" s="112">
        <v>0.7312500000000001</v>
      </c>
    </row>
    <row r="30" ht="14.25" customHeight="1">
      <c r="A30" s="107">
        <v>19.0</v>
      </c>
      <c r="B30" s="107">
        <v>30.0</v>
      </c>
      <c r="C30" s="107" t="s">
        <v>32</v>
      </c>
      <c r="D30" s="112">
        <v>0.24722222222222223</v>
      </c>
      <c r="E30" s="112">
        <v>0.3034722222222222</v>
      </c>
      <c r="F30" s="112">
        <v>0.5555555555555556</v>
      </c>
      <c r="G30" s="112">
        <v>0.6965277777777777</v>
      </c>
      <c r="H30" s="112">
        <v>0.8083333333333332</v>
      </c>
      <c r="I30" s="112">
        <v>0.8645833333333334</v>
      </c>
      <c r="J30" s="112">
        <v>0.2347222222222222</v>
      </c>
      <c r="K30" s="112">
        <v>0.7319444444444444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2011-12-29T02:05:03Z</dcterms:created>
  <dc:creator>Munzurul Islam</dc:creator>
</cp:coreProperties>
</file>